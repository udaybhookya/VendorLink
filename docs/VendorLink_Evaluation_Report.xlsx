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lot Measures" sheetId="2" state="visible" r:id="rId2"/>
    <sheet name="Guardian Stress" sheetId="3" state="visible" r:id="rId3"/>
    <sheet name="Security" sheetId="4" state="visible" r:id="rId4"/>
    <sheet name="Tests" sheetId="5" state="visible" r:id="rId5"/>
    <sheet name="Evals" sheetId="6" state="visible" r:id="rId6"/>
    <sheet name="Hero Order" sheetId="7" state="visible" r:id="rId7"/>
    <sheet name="Config &amp; Architecture" sheetId="8" state="visible" r:id="rId8"/>
    <sheet name="Method" sheetId="9" state="visible" r:id="rId9"/>
  </sheets>
  <definedNames>
    <definedName name="_xlnm.Print_Area" localSheetId="0">'Summary'!$A$1:$Q$22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₹#,##0"/>
    <numFmt numFmtId="167" formatCode="0&quot; µs&quot;"/>
  </numFmts>
  <fonts count="15">
    <font>
      <name val="Calibri"/>
      <family val="2"/>
      <color theme="1"/>
      <sz val="11"/>
      <scheme val="minor"/>
    </font>
    <font>
      <name val="Arial"/>
      <b val="1"/>
      <color rgb="001F2A44"/>
      <sz val="14"/>
    </font>
    <font>
      <name val="Arial"/>
      <i val="1"/>
      <color rgb="005B6475"/>
      <sz val="9"/>
    </font>
    <font>
      <name val="Arial"/>
      <b val="1"/>
      <color rgb="00FFFFFF"/>
      <sz val="9"/>
    </font>
    <font>
      <name val="Arial"/>
      <color rgb="001F2A44"/>
      <sz val="9"/>
    </font>
    <font>
      <name val="Arial"/>
      <b val="1"/>
      <color rgb="001F2A44"/>
      <sz val="9"/>
    </font>
    <font>
      <name val="Arial"/>
      <b val="1"/>
      <color rgb="001F2A44"/>
      <sz val="11"/>
    </font>
    <font>
      <name val="Arial"/>
      <b val="1"/>
      <color rgb="001F2A44"/>
      <sz val="20"/>
    </font>
    <font>
      <name val="Arial"/>
      <color rgb="005B6475"/>
      <sz val="10"/>
    </font>
    <font>
      <name val="Arial"/>
      <b val="1"/>
      <color rgb="002F5DA8"/>
      <sz val="26"/>
    </font>
    <font>
      <name val="Arial"/>
      <b val="1"/>
      <color rgb="001F2A44"/>
      <sz val="10"/>
    </font>
    <font>
      <name val="Arial"/>
      <color rgb="005B6475"/>
      <sz val="8"/>
    </font>
    <font>
      <name val="Arial"/>
      <color rgb="001F2A44"/>
      <sz val="8.5"/>
    </font>
    <font>
      <name val="Arial"/>
      <b val="1"/>
      <color rgb="001F2A44"/>
      <sz val="8.5"/>
    </font>
    <font>
      <name val="Arial"/>
      <i val="1"/>
      <color rgb="005B6475"/>
      <sz val="8"/>
    </font>
  </fonts>
  <fills count="4">
    <fill>
      <patternFill/>
    </fill>
    <fill>
      <patternFill patternType="gray125"/>
    </fill>
    <fill>
      <patternFill patternType="solid">
        <fgColor rgb="001F2A44"/>
        <bgColor rgb="001F2A44"/>
      </patternFill>
    </fill>
    <fill>
      <patternFill patternType="solid">
        <fgColor rgb="00F4F6FA"/>
        <bgColor rgb="00F4F6FA"/>
      </patternFill>
    </fill>
  </fills>
  <borders count="9">
    <border>
      <left/>
      <right/>
      <top/>
      <bottom/>
      <diagonal/>
    </border>
    <border>
      <left style="thin">
        <color rgb="00D5DAE3"/>
      </left>
      <right style="thin">
        <color rgb="00D5DAE3"/>
      </right>
      <top style="thin">
        <color rgb="00D5DAE3"/>
      </top>
      <bottom style="thin">
        <color rgb="00D5DAE3"/>
      </bottom>
    </border>
    <border>
      <left/>
      <right/>
      <top style="thin">
        <color rgb="00D5DAE3"/>
      </top>
      <bottom/>
      <diagonal/>
    </border>
    <border>
      <left/>
      <right style="thin">
        <color rgb="00D5DAE3"/>
      </right>
      <top style="thin">
        <color rgb="00D5DAE3"/>
      </top>
      <bottom/>
      <diagonal/>
    </border>
    <border>
      <left/>
      <right/>
      <top style="thin">
        <color rgb="00D5DAE3"/>
      </top>
      <bottom style="thin">
        <color rgb="00D5DAE3"/>
      </bottom>
      <diagonal/>
    </border>
    <border>
      <left/>
      <right style="thin">
        <color rgb="00D5DAE3"/>
      </right>
      <top style="thin">
        <color rgb="00D5DAE3"/>
      </top>
      <bottom style="thin">
        <color rgb="00D5DAE3"/>
      </bottom>
      <diagonal/>
    </border>
    <border>
      <top style="thick">
        <color rgb="002F5DA8"/>
      </top>
    </border>
    <border>
      <left/>
      <right/>
      <top style="thick">
        <color rgb="002F5DA8"/>
      </top>
      <bottom/>
      <diagonal/>
    </border>
    <border>
      <bottom style="thin">
        <color rgb="00D5DAE3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3" fontId="9" fillId="3" borderId="6" applyAlignment="1" pivotButton="0" quotePrefix="0" xfId="0">
      <alignment horizontal="left" vertical="center" indent="1"/>
    </xf>
    <xf numFmtId="0" fontId="0" fillId="0" borderId="7" pivotButton="0" quotePrefix="0" xfId="0"/>
    <xf numFmtId="9" fontId="9" fillId="3" borderId="6" applyAlignment="1" pivotButton="0" quotePrefix="0" xfId="0">
      <alignment horizontal="left" vertical="center" indent="1"/>
    </xf>
    <xf numFmtId="0" fontId="10" fillId="3" borderId="0" applyAlignment="1" pivotButton="0" quotePrefix="0" xfId="0">
      <alignment horizontal="left" vertical="top" wrapText="1" indent="1"/>
    </xf>
    <xf numFmtId="0" fontId="11" fillId="3" borderId="0" applyAlignment="1" pivotButton="0" quotePrefix="0" xfId="0">
      <alignment horizontal="left" vertical="top" wrapText="1" indent="1"/>
    </xf>
    <xf numFmtId="0" fontId="9" fillId="3" borderId="6" applyAlignment="1" pivotButton="0" quotePrefix="0" xfId="0">
      <alignment horizontal="left" vertical="center" indent="1"/>
    </xf>
    <xf numFmtId="164" fontId="9" fillId="3" borderId="6" applyAlignment="1" pivotButton="0" quotePrefix="0" xfId="0">
      <alignment horizontal="left" vertical="center" indent="1"/>
    </xf>
    <xf numFmtId="167" fontId="9" fillId="3" borderId="6" applyAlignment="1" pivotButton="0" quotePrefix="0" xfId="0">
      <alignment horizontal="left" vertical="center" indent="1"/>
    </xf>
    <xf numFmtId="0" fontId="6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12" fillId="0" borderId="8" applyAlignment="1" pivotButton="0" quotePrefix="0" xfId="0">
      <alignment horizontal="left" vertical="center" wrapText="1" indent="1"/>
    </xf>
    <xf numFmtId="0" fontId="0" fillId="0" borderId="8" pivotButton="0" quotePrefix="0" xfId="0"/>
    <xf numFmtId="0" fontId="13" fillId="0" borderId="8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9" fontId="4" fillId="0" borderId="1" applyAlignment="1" pivotButton="0" quotePrefix="0" xfId="0">
      <alignment vertical="top" wrapText="1"/>
    </xf>
    <xf numFmtId="9" fontId="5" fillId="0" borderId="1" applyAlignment="1" pivotButton="0" quotePrefix="0" xfId="0">
      <alignment vertical="top" wrapText="1"/>
    </xf>
    <xf numFmtId="166" fontId="5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3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dxfs count="4">
    <dxf>
      <font>
        <name val="Arial"/>
        <b val="1"/>
        <color rgb="001E6B34"/>
      </font>
      <fill>
        <patternFill patternType="solid">
          <fgColor rgb="00E3F2E7"/>
          <bgColor rgb="00E3F2E7"/>
        </patternFill>
      </fill>
    </dxf>
    <dxf>
      <font>
        <name val="Arial"/>
        <b val="1"/>
        <color rgb="002F4A7A"/>
      </font>
      <fill>
        <patternFill patternType="solid">
          <fgColor rgb="00E9EEF7"/>
          <bgColor rgb="00E9EEF7"/>
        </patternFill>
      </fill>
    </dxf>
    <dxf>
      <font>
        <name val="Arial"/>
        <b val="1"/>
        <color rgb="008A5A00"/>
      </font>
      <fill>
        <patternFill patternType="solid">
          <fgColor rgb="00FFF4D6"/>
          <bgColor rgb="00FFF4D6"/>
        </patternFill>
      </fill>
    </dxf>
    <dxf>
      <font>
        <name val="Arial"/>
        <b val="1"/>
        <color rgb="009B1C1C"/>
      </font>
      <fill>
        <patternFill patternType="solid">
          <fgColor rgb="00FBE3E3"/>
          <bgColor rgb="00FBE3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Eval score by specialist (sets run)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'Evals'!G4</f>
            </strRef>
          </tx>
          <spPr>
            <a:solidFill>
              <a:srgbClr val="2F5DA8"/>
            </a:solidFill>
            <a:ln>
              <a:prstDash val="solid"/>
            </a:ln>
          </spPr>
          <cat>
            <numRef>
              <f>'Evals'!$A$5:$A$12</f>
            </numRef>
          </cat>
          <val>
            <numRef>
              <f>'Evals'!$G$5:$G$12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Score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Claude</author>
  </authors>
  <commentList>
    <comment ref="B5" authorId="0" shapeId="0">
      <text>
        <t>Source: Guardian Stress tab, row 15 (sum of both 10,000-order runs).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P22"/>
  <sheetViews>
    <sheetView showGridLines="0" zoomScale="100" workbookViewId="0">
      <selection activeCell="A1" sqref="A1"/>
    </sheetView>
  </sheetViews>
  <sheetFormatPr baseColWidth="8" defaultRowHeight="15"/>
  <cols>
    <col width="2.5" customWidth="1" min="1" max="1"/>
    <col width="11.4" customWidth="1" min="2" max="2"/>
    <col width="11.4" customWidth="1" min="3" max="3"/>
    <col width="11.4" customWidth="1" min="4" max="4"/>
    <col width="1.6" customWidth="1" min="5" max="5"/>
    <col width="11.4" customWidth="1" min="6" max="6"/>
    <col width="11.4" customWidth="1" min="7" max="7"/>
    <col width="11.4" customWidth="1" min="8" max="8"/>
    <col width="1.6" customWidth="1" min="9" max="9"/>
    <col width="11.4" customWidth="1" min="10" max="10"/>
    <col width="11.4" customWidth="1" min="11" max="11"/>
    <col width="11.4" customWidth="1" min="12" max="12"/>
    <col width="1.6" customWidth="1" min="13" max="13"/>
    <col width="11.4" customWidth="1" min="14" max="14"/>
    <col width="11.4" customWidth="1" min="15" max="15"/>
    <col width="11.4" customWidth="1" min="16" max="16"/>
    <col width="2.5" customWidth="1" min="17" max="17"/>
  </cols>
  <sheetData>
    <row r="1" ht="10" customHeight="1"/>
    <row r="2" ht="30" customHeight="1">
      <c r="B2" s="1" t="inlineStr">
        <is>
          <t>VendorLink · Evaluation: quantitative proof</t>
        </is>
      </c>
    </row>
    <row r="3">
      <c r="B3" s="2" t="inlineStr">
        <is>
          <t>Voice-first agents that sell for small vendors, within rules they set. Measured 18 Oct 2026 on the working prototype (commit 0ec713d).</t>
        </is>
      </c>
    </row>
    <row r="4" ht="8" customHeight="1"/>
    <row r="5" ht="40" customHeight="1">
      <c r="B5" s="3">
        <f>'Guardian Stress'!D15</f>
        <v>0</v>
      </c>
      <c r="C5" s="4" t="n"/>
      <c r="D5" s="4" t="n"/>
      <c r="F5" s="5">
        <f>'Guardian Stress'!D11</f>
        <v>1</v>
      </c>
      <c r="G5" s="4" t="n"/>
      <c r="H5" s="4" t="n"/>
      <c r="J5" s="5">
        <f>Security!F15</f>
        <v>1</v>
      </c>
      <c r="K5" s="4" t="n"/>
      <c r="L5" s="4" t="n"/>
      <c r="N5" s="5">
        <f>'Guardian Stress'!D13</f>
        <v>1</v>
      </c>
      <c r="O5" s="4" t="n"/>
      <c r="P5" s="4" t="n"/>
    </row>
    <row r="6" ht="28" customHeight="1">
      <c r="B6" s="6" t="inlineStr">
        <is>
          <t>orders signed outside her rules without her consent</t>
        </is>
      </c>
      <c r="F6" s="6" t="inlineStr">
        <is>
          <t>Guardian decisions match an independent oracle</t>
        </is>
      </c>
      <c r="J6" s="6" t="inlineStr">
        <is>
          <t>attack attempts blocked</t>
        </is>
      </c>
      <c r="N6" s="6" t="inlineStr">
        <is>
          <t>of counter-offers stay inside her rules</t>
        </is>
      </c>
    </row>
    <row r="7" ht="24" customHeight="1">
      <c r="B7" s="7" t="str">
        <f>"in "&amp;TEXT('Guardian Stress'!D14,"#,##0")&amp;" signing attempts (target: 0)"</f>
        <v>in 72,218 signing attempts (target: 0)</v>
      </c>
      <c r="F7" s="7" t="str">
        <f>TEXT('Guardian Stress'!D5,"#,##0")&amp;" random orders; deterministic, no LLM"</f>
        <v>20,000 random orders; deterministic, no LLM</v>
      </c>
      <c r="J7" s="7" t="str">
        <f>TEXT(Security!D15,"#,##0")&amp;" attempts: impostor, injection, tamper, forgery"</f>
        <v>70 attempts: impostor, injection, tamper, forgery</v>
      </c>
      <c r="N7" s="7" t="str">
        <f>TEXT('Guardian Stress'!D12,"#,##0")&amp;" counters re-checked by the Guardian"</f>
        <v>12,218 counters re-checked by the Guardian</v>
      </c>
    </row>
    <row r="8" ht="8" customHeight="1"/>
    <row r="9" ht="40" customHeight="1">
      <c r="B9" s="8" t="str">
        <f>Tests!D13&amp;"/"&amp;Tests!C13</f>
        <v>305/305</v>
      </c>
      <c r="C9" s="4" t="n"/>
      <c r="D9" s="4" t="n"/>
      <c r="F9" s="9">
        <f>Evals!G15</f>
        <v>0.9887640449438202</v>
      </c>
      <c r="G9" s="4" t="n"/>
      <c r="H9" s="4" t="n"/>
      <c r="J9" s="3">
        <f>'Config &amp; Architecture'!C16</f>
        <v>0</v>
      </c>
      <c r="K9" s="4" t="n"/>
      <c r="L9" s="4" t="n"/>
      <c r="N9" s="10">
        <f>'Guardian Stress'!D24</f>
        <v>26.3</v>
      </c>
      <c r="O9" s="4" t="n"/>
      <c r="P9" s="4" t="n"/>
    </row>
    <row r="10" ht="28" customHeight="1">
      <c r="B10" s="6" t="inlineStr">
        <is>
          <t>automated tests pass</t>
        </is>
      </c>
      <c r="F10" s="6" t="inlineStr">
        <is>
          <t>specialist eval cases pass</t>
        </is>
      </c>
      <c r="J10" s="6" t="inlineStr">
        <is>
          <t>lines of core code to switch business + country</t>
        </is>
      </c>
      <c r="N10" s="6" t="inlineStr">
        <is>
          <t>p99 time for a Guardian decision</t>
        </is>
      </c>
    </row>
    <row r="11" ht="24" customHeight="1">
      <c r="B11" s="7" t="str">
        <f>"+ order loop 20/20, API 115/115 routes"</f>
        <v>+ order loop 20/20, API 115/115 routes</v>
      </c>
      <c r="F11" s="7" t="str">
        <f>Evals!F15&amp;"/"&amp;Evals!E15&amp;" cases; "&amp;Evals!F16&amp;"/"&amp;Evals!E16&amp;" sets over the 80% bar"</f>
        <v>88/89 cases; 8/8 sets over the 80% bar</v>
      </c>
      <c r="J11" s="7" t="str">
        <f>"India gifts → Indonesia food: one preset"</f>
        <v>India gifts → Indonesia food: one preset</v>
      </c>
      <c r="N11" s="7" t="str">
        <f>"rules engine; audit tamper found 50/50"</f>
        <v>rules engine; audit tamper found 50/50</v>
      </c>
    </row>
    <row r="12" ht="8" customHeight="1"/>
    <row r="13" ht="20" customHeight="1">
      <c r="B13" s="11" t="inlineStr">
        <is>
          <t>Against the success measures in the solution approach (§13)</t>
        </is>
      </c>
    </row>
    <row r="14" ht="18" customHeight="1">
      <c r="B14" s="12" t="inlineStr">
        <is>
          <t>Success measure</t>
        </is>
      </c>
      <c r="C14" s="13" t="n"/>
      <c r="D14" s="13" t="n"/>
      <c r="E14" s="13" t="n"/>
      <c r="F14" s="13" t="n"/>
      <c r="G14" s="12" t="inlineStr">
        <is>
          <t>Prototype evidence</t>
        </is>
      </c>
      <c r="H14" s="13" t="n"/>
      <c r="I14" s="13" t="n"/>
      <c r="J14" s="13" t="n"/>
      <c r="K14" s="13" t="n"/>
      <c r="L14" s="12" t="inlineStr">
        <is>
          <t>Result</t>
        </is>
      </c>
      <c r="M14" s="13" t="n"/>
      <c r="N14" s="13" t="n"/>
      <c r="O14" s="14" t="inlineStr">
        <is>
          <t>Status</t>
        </is>
      </c>
      <c r="P14" s="13" t="n"/>
    </row>
    <row r="15" ht="26" customHeight="1">
      <c r="B15" s="15" t="str">
        <f>'Pilot Measures'!A5</f>
        <v>Orders signed outside a vendor's rules without spoken consent (target: zero)</v>
      </c>
      <c r="C15" s="16" t="n"/>
      <c r="D15" s="16" t="n"/>
      <c r="E15" s="16" t="n"/>
      <c r="F15" s="16" t="n"/>
      <c r="G15" s="15" t="inlineStr">
        <is>
          <t>20,000 random orders × 4 consent attacks; 1,200 property cases</t>
        </is>
      </c>
      <c r="H15" s="16" t="n"/>
      <c r="I15" s="16" t="n"/>
      <c r="J15" s="16" t="n"/>
      <c r="K15" s="16" t="n"/>
      <c r="L15" s="15" t="str">
        <f>'Pilot Measures'!C5</f>
        <v>0 of 72,218 attempts</v>
      </c>
      <c r="M15" s="16" t="n"/>
      <c r="N15" s="16" t="n"/>
      <c r="O15" s="17" t="str">
        <f>'Pilot Measures'!D5</f>
        <v>Met</v>
      </c>
      <c r="P15" s="16" t="n"/>
    </row>
    <row r="16" ht="26" customHeight="1">
      <c r="B16" s="15" t="str">
        <f>'Pilot Measures'!A6</f>
        <v>Attack test cases blocked by the Trust Gateway</v>
      </c>
      <c r="C16" s="16" t="n"/>
      <c r="D16" s="16" t="n"/>
      <c r="E16" s="16" t="n"/>
      <c r="F16" s="16" t="n"/>
      <c r="G16" s="15" t="inlineStr">
        <is>
          <t>Impostor, injected doc, reverse calls, forged mandate, tamper sweep</t>
        </is>
      </c>
      <c r="H16" s="16" t="n"/>
      <c r="I16" s="16" t="n"/>
      <c r="J16" s="16" t="n"/>
      <c r="K16" s="16" t="n"/>
      <c r="L16" s="15" t="str">
        <f>'Pilot Measures'!C6</f>
        <v>70 of 70 blocked</v>
      </c>
      <c r="M16" s="16" t="n"/>
      <c r="N16" s="16" t="n"/>
      <c r="O16" s="17" t="str">
        <f>'Pilot Measures'!D6</f>
        <v>Met</v>
      </c>
      <c r="P16" s="16" t="n"/>
    </row>
    <row r="17" ht="26" customHeight="1">
      <c r="B17" s="15" t="str">
        <f>'Pilot Measures'!A7</f>
        <v>Share of orders settled within the vendor's rules with no vendor action</v>
      </c>
      <c r="C17" s="16" t="n"/>
      <c r="D17" s="16" t="n"/>
      <c r="E17" s="16" t="n"/>
      <c r="F17" s="16" t="n"/>
      <c r="G17" s="15" t="inlineStr">
        <is>
          <t>In-rule orders under auto-accept sign with no vendor action</t>
        </is>
      </c>
      <c r="H17" s="16" t="n"/>
      <c r="I17" s="16" t="n"/>
      <c r="J17" s="16" t="n"/>
      <c r="K17" s="16" t="n"/>
      <c r="L17" s="15" t="str">
        <f>'Pilot Measures'!C7</f>
        <v>100% (804 orders)</v>
      </c>
      <c r="M17" s="16" t="n"/>
      <c r="N17" s="16" t="n"/>
      <c r="O17" s="17" t="str">
        <f>'Pilot Measures'!D7</f>
        <v>Proxy</v>
      </c>
      <c r="P17" s="16" t="n"/>
    </row>
    <row r="18" ht="26" customHeight="1">
      <c r="B18" s="15" t="str">
        <f>'Pilot Measures'!A8</f>
        <v>Share of listings accepted without a person editing them</v>
      </c>
      <c r="C18" s="16" t="n"/>
      <c r="D18" s="16" t="n"/>
      <c r="E18" s="16" t="n"/>
      <c r="F18" s="16" t="n"/>
      <c r="G18" s="15" t="inlineStr">
        <is>
          <t>Guardian auto-approves listings built from her own facts</t>
        </is>
      </c>
      <c r="H18" s="16" t="n"/>
      <c r="I18" s="16" t="n"/>
      <c r="J18" s="16" t="n"/>
      <c r="K18" s="16" t="n"/>
      <c r="L18" s="15" t="str">
        <f>'Pilot Measures'!C8</f>
        <v>Mechanism proven</v>
      </c>
      <c r="M18" s="16" t="n"/>
      <c r="N18" s="16" t="n"/>
      <c r="O18" s="17" t="str">
        <f>'Pilot Measures'!D8</f>
        <v>Proxy</v>
      </c>
      <c r="P18" s="16" t="n"/>
    </row>
    <row r="19" ht="26" customHeight="1">
      <c r="B19" s="15" t="str">
        <f>'Pilot Measures'!A9</f>
        <v>Vendor time from first contact to first live listing</v>
      </c>
      <c r="C19" s="16" t="n"/>
      <c r="D19" s="16" t="n"/>
      <c r="E19" s="16" t="n"/>
      <c r="F19" s="16" t="n"/>
      <c r="G19" s="15" t="inlineStr">
        <is>
          <t>Chat-first onboarding passes end to end; not yet timed</t>
        </is>
      </c>
      <c r="H19" s="16" t="n"/>
      <c r="I19" s="16" t="n"/>
      <c r="J19" s="16" t="n"/>
      <c r="K19" s="16" t="n"/>
      <c r="L19" s="15" t="str">
        <f>'Pilot Measures'!C9</f>
        <v>Not timed</v>
      </c>
      <c r="M19" s="16" t="n"/>
      <c r="N19" s="16" t="n"/>
      <c r="O19" s="17" t="str">
        <f>'Pilot Measures'!D9</f>
        <v>Pilot</v>
      </c>
      <c r="P19" s="16" t="n"/>
    </row>
    <row r="20" ht="26" customHeight="1">
      <c r="B20" s="15" t="str">
        <f>'Pilot Measures'!A10</f>
        <v>Disputes resolved using shared evidence, and time to resolve</v>
      </c>
      <c r="C20" s="16" t="n"/>
      <c r="D20" s="16" t="n"/>
      <c r="E20" s="16" t="n"/>
      <c r="F20" s="16" t="n"/>
      <c r="G20" s="15" t="inlineStr">
        <is>
          <t>Quality &amp; Disputes was first in the scope-cut order</t>
        </is>
      </c>
      <c r="H20" s="16" t="n"/>
      <c r="I20" s="16" t="n"/>
      <c r="J20" s="16" t="n"/>
      <c r="K20" s="16" t="n"/>
      <c r="L20" s="15" t="str">
        <f>'Pilot Measures'!C10</f>
        <v>Not built</v>
      </c>
      <c r="M20" s="16" t="n"/>
      <c r="N20" s="16" t="n"/>
      <c r="O20" s="17" t="str">
        <f>'Pilot Measures'!D10</f>
        <v>Not in MVP</v>
      </c>
      <c r="P20" s="16" t="n"/>
    </row>
    <row r="22" ht="26" customHeight="1">
      <c r="B22" s="18" t="inlineStr">
        <is>
          <t>Local in-process stack, model calls off or scripted, synthetic demo data. Real-model quality, vendor time to first listing and live auto-handled share need a pilot. Every number links to a detail tab; the Method tab has the commands to reproduce it.</t>
        </is>
      </c>
    </row>
  </sheetData>
  <mergeCells count="56">
    <mergeCell ref="B11:D11"/>
    <mergeCell ref="J6:L6"/>
    <mergeCell ref="L15:N15"/>
    <mergeCell ref="B2:P2"/>
    <mergeCell ref="F5:H5"/>
    <mergeCell ref="B16:F16"/>
    <mergeCell ref="L18:N18"/>
    <mergeCell ref="O19:P19"/>
    <mergeCell ref="L14:N14"/>
    <mergeCell ref="N5:P5"/>
    <mergeCell ref="O15:P15"/>
    <mergeCell ref="O18:P18"/>
    <mergeCell ref="L20:N20"/>
    <mergeCell ref="B13:P13"/>
    <mergeCell ref="B18:F18"/>
    <mergeCell ref="J11:L11"/>
    <mergeCell ref="J7:L7"/>
    <mergeCell ref="B10:D10"/>
    <mergeCell ref="G17:K17"/>
    <mergeCell ref="N10:P10"/>
    <mergeCell ref="O20:P20"/>
    <mergeCell ref="B9:D9"/>
    <mergeCell ref="N9:P9"/>
    <mergeCell ref="G19:K19"/>
    <mergeCell ref="F9:H9"/>
    <mergeCell ref="B14:F14"/>
    <mergeCell ref="B6:D6"/>
    <mergeCell ref="B17:F17"/>
    <mergeCell ref="N6:P6"/>
    <mergeCell ref="G18:K18"/>
    <mergeCell ref="O16:P16"/>
    <mergeCell ref="B5:D5"/>
    <mergeCell ref="G15:K15"/>
    <mergeCell ref="B19:F19"/>
    <mergeCell ref="G14:K14"/>
    <mergeCell ref="B7:D7"/>
    <mergeCell ref="L17:N17"/>
    <mergeCell ref="F11:H11"/>
    <mergeCell ref="N11:P11"/>
    <mergeCell ref="J5:L5"/>
    <mergeCell ref="N7:P7"/>
    <mergeCell ref="F10:H10"/>
    <mergeCell ref="L16:N16"/>
    <mergeCell ref="F6:H6"/>
    <mergeCell ref="O17:P17"/>
    <mergeCell ref="J10:L10"/>
    <mergeCell ref="G20:K20"/>
    <mergeCell ref="B20:F20"/>
    <mergeCell ref="B15:F15"/>
    <mergeCell ref="B3:P3"/>
    <mergeCell ref="G16:K16"/>
    <mergeCell ref="L19:N19"/>
    <mergeCell ref="B22:P22"/>
    <mergeCell ref="O14:P14"/>
    <mergeCell ref="F7:H7"/>
    <mergeCell ref="J9:L9"/>
  </mergeCells>
  <conditionalFormatting sqref="O15:O20">
    <cfRule type="cellIs" priority="1" operator="equal" dxfId="0">
      <formula>"Met"</formula>
    </cfRule>
    <cfRule type="cellIs" priority="2" operator="equal" dxfId="0">
      <formula>"Pass"</formula>
    </cfRule>
    <cfRule type="cellIs" priority="3" operator="equal" dxfId="0">
      <formula>"Blocked"</formula>
    </cfRule>
    <cfRule type="cellIs" priority="4" operator="equal" dxfId="1">
      <formula>"Proxy"</formula>
    </cfRule>
    <cfRule type="cellIs" priority="5" operator="equal" dxfId="1">
      <formula>"Info"</formula>
    </cfRule>
    <cfRule type="cellIs" priority="6" operator="equal" dxfId="2">
      <formula>"Pilot"</formula>
    </cfRule>
    <cfRule type="cellIs" priority="7" operator="equal" dxfId="2">
      <formula>"Not run"</formula>
    </cfRule>
    <cfRule type="cellIs" priority="8" operator="equal" dxfId="2">
      <formula>"Not in MVP"</formula>
    </cfRule>
    <cfRule type="cellIs" priority="9" operator="equal" dxfId="3">
      <formula>"Missed"</formula>
    </cfRule>
    <cfRule type="cellIs" priority="10" operator="equal" dxfId="3">
      <formula>"Fail"</formula>
    </cfRule>
  </conditionalFormatting>
  <pageMargins left="0.4" right="0.4" top="0.4" bottom="0.4" header="0.5" footer="0.5"/>
  <pageSetup orientation="landscape" fitToHeight="1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26" customWidth="1" min="3" max="3"/>
    <col width="12" customWidth="1" min="4" max="4"/>
    <col width="40" customWidth="1" min="5" max="5"/>
  </cols>
  <sheetData>
    <row r="1" ht="22" customHeight="1">
      <c r="A1" s="19" t="inlineStr">
        <is>
          <t>Approach §13 success measures: what the prototype proves today</t>
        </is>
      </c>
    </row>
    <row r="2">
      <c r="A2" s="20" t="inlineStr">
        <is>
          <t>Measured = proven in the prototype. Proxy = mechanism proven, the real share needs real traffic. Pilot = needs real vendors.</t>
        </is>
      </c>
    </row>
    <row r="4" ht="28" customHeight="1">
      <c r="A4" s="21" t="inlineStr">
        <is>
          <t>Success measure (solution approach §13)</t>
        </is>
      </c>
      <c r="B4" s="21" t="inlineStr">
        <is>
          <t>Prototype evidence</t>
        </is>
      </c>
      <c r="C4" s="21" t="inlineStr">
        <is>
          <t>Result</t>
        </is>
      </c>
      <c r="D4" s="21" t="inlineStr">
        <is>
          <t>Status</t>
        </is>
      </c>
      <c r="E4" s="21" t="inlineStr">
        <is>
          <t>What a pilot adds</t>
        </is>
      </c>
    </row>
    <row r="5">
      <c r="A5" s="22" t="inlineStr">
        <is>
          <t>Orders signed outside a vendor's rules without spoken consent (target: zero)</t>
        </is>
      </c>
      <c r="B5" s="22" t="inlineStr">
        <is>
          <t>Guardian stress (20,000 orders, 4 attack modes each) + 1,200 Hypothesis cases</t>
        </is>
      </c>
      <c r="C5" s="22" t="str">
        <f>'Guardian Stress'!D15&amp;" of "&amp;TEXT('Guardian Stress'!D14,"#,##0")&amp;" attempts"</f>
        <v>0 of 72,218 attempts</v>
      </c>
      <c r="D5" s="22" t="inlineStr">
        <is>
          <t>Met</t>
        </is>
      </c>
      <c r="E5" s="22" t="inlineStr">
        <is>
          <t>Same check on live orders; audit log makes it provable.</t>
        </is>
      </c>
    </row>
    <row r="6">
      <c r="A6" s="22" t="inlineStr">
        <is>
          <t>Attack test cases blocked by the Trust Gateway</t>
        </is>
      </c>
      <c r="B6" s="22" t="inlineStr">
        <is>
          <t>Impostor (3 vectors), injected document, quarantine, 14 reverse-direction skills, forged mandate, 50-position tamper sweep</t>
        </is>
      </c>
      <c r="C6" s="22" t="str">
        <f>TEXT(Security!E15,"#,##0")&amp;" of "&amp;TEXT(Security!D15,"#,##0")&amp;" blocked"</f>
        <v>70 of 70 blocked</v>
      </c>
      <c r="D6" s="22" t="inlineStr">
        <is>
          <t>Met</t>
        </is>
      </c>
      <c r="E6" s="22" t="inlineStr">
        <is>
          <t>Red-team with new attack types; Model Armor in place of heuristic screening.</t>
        </is>
      </c>
    </row>
    <row r="7">
      <c r="A7" s="22" t="inlineStr">
        <is>
          <t>Share of orders settled within the vendor's rules with no vendor action</t>
        </is>
      </c>
      <c r="B7" s="22" t="inlineStr">
        <is>
          <t>Every in-rule order under auto-accept signs with no vendor action; e2e green path confirms</t>
        </is>
      </c>
      <c r="C7" s="22" t="str">
        <f>TEXT('Guardian Stress'!D18,"0%")&amp;" ("&amp;TEXT('Guardian Stress'!D17,"#,##0")&amp;" orders)"</f>
        <v>100% (804 orders)</v>
      </c>
      <c r="D7" s="22" t="inlineStr">
        <is>
          <t>Proxy</t>
        </is>
      </c>
      <c r="E7" s="22" t="inlineStr">
        <is>
          <t>The real share depends on how vendors set their rules and buyers' order mix.</t>
        </is>
      </c>
    </row>
    <row r="8">
      <c r="A8" s="22" t="inlineStr">
        <is>
          <t>Share of listings accepted without a person editing them</t>
        </is>
      </c>
      <c r="B8" s="22" t="inlineStr">
        <is>
          <t>Guardian approves listings built from her own facts within listing_rules (9 unit tests); Listing Enricher eval 14/14</t>
        </is>
      </c>
      <c r="C8" s="22" t="inlineStr">
        <is>
          <t>Mechanism proven</t>
        </is>
      </c>
      <c r="D8" s="22" t="inlineStr">
        <is>
          <t>Proxy</t>
        </is>
      </c>
      <c r="E8" s="22" t="inlineStr">
        <is>
          <t>Count listings approved without edits across real vendors.</t>
        </is>
      </c>
    </row>
    <row r="9">
      <c r="A9" s="22" t="inlineStr">
        <is>
          <t>Vendor time from first contact to first live listing</t>
        </is>
      </c>
      <c r="B9" s="22" t="inlineStr">
        <is>
          <t>Chat-first onboarding and listing flow passes end to end (tests/e2e)</t>
        </is>
      </c>
      <c r="C9" s="22" t="inlineStr">
        <is>
          <t>Not timed</t>
        </is>
      </c>
      <c r="D9" s="22" t="inlineStr">
        <is>
          <t>Pilot</t>
        </is>
      </c>
      <c r="E9" s="22" t="inlineStr">
        <is>
          <t>Time real vendors, by language and literacy level.</t>
        </is>
      </c>
    </row>
    <row r="10">
      <c r="A10" s="22" t="inlineStr">
        <is>
          <t>Disputes resolved using shared evidence, and time to resolve</t>
        </is>
      </c>
      <c r="B10" s="22" t="inlineStr">
        <is>
          <t>Quality &amp; Disputes was first in the scope cut order</t>
        </is>
      </c>
      <c r="C10" s="22" t="inlineStr">
        <is>
          <t>Not built</t>
        </is>
      </c>
      <c r="D10" s="22" t="inlineStr">
        <is>
          <t>Not in MVP</t>
        </is>
      </c>
      <c r="E10" s="22" t="inlineStr">
        <is>
          <t>Build after the pilot proves the order loop.</t>
        </is>
      </c>
    </row>
  </sheetData>
  <conditionalFormatting sqref="D5:D10">
    <cfRule type="cellIs" priority="1" operator="equal" dxfId="0">
      <formula>"Met"</formula>
    </cfRule>
    <cfRule type="cellIs" priority="2" operator="equal" dxfId="0">
      <formula>"Pass"</formula>
    </cfRule>
    <cfRule type="cellIs" priority="3" operator="equal" dxfId="0">
      <formula>"Blocked"</formula>
    </cfRule>
    <cfRule type="cellIs" priority="4" operator="equal" dxfId="1">
      <formula>"Proxy"</formula>
    </cfRule>
    <cfRule type="cellIs" priority="5" operator="equal" dxfId="1">
      <formula>"Info"</formula>
    </cfRule>
    <cfRule type="cellIs" priority="6" operator="equal" dxfId="2">
      <formula>"Pilot"</formula>
    </cfRule>
    <cfRule type="cellIs" priority="7" operator="equal" dxfId="2">
      <formula>"Not run"</formula>
    </cfRule>
    <cfRule type="cellIs" priority="8" operator="equal" dxfId="2">
      <formula>"Not in MVP"</formula>
    </cfRule>
    <cfRule type="cellIs" priority="9" operator="equal" dxfId="3">
      <formula>"Missed"</formula>
    </cfRule>
    <cfRule type="cellIs" priority="10" operator="equal" dxfId="3">
      <formula>"Fail"</formula>
    </cfRule>
  </conditionalFormatting>
  <pageMargins left="0.4" right="0.4" top="0.4" bottom="0.4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2" customWidth="1" min="5" max="5"/>
    <col width="11" customWidth="1" min="6" max="6"/>
    <col width="60" customWidth="1" min="7" max="7"/>
  </cols>
  <sheetData>
    <row r="1" ht="22" customHeight="1">
      <c r="A1" s="19" t="inlineStr">
        <is>
          <t>Guardian stress test: 20,000 random orders checked against an independent oracle</t>
        </is>
      </c>
    </row>
    <row r="2">
      <c r="A2" s="20" t="inlineStr">
        <is>
          <t>Script: guardian_stress.py (seed 2026). Each order meets a random standing mandate; the oracle is the independent restatement of the rules from tests/unit/guardian/test_guardian_properties.py.</t>
        </is>
      </c>
    </row>
    <row r="4" ht="28" customHeight="1">
      <c r="A4" s="21" t="inlineStr">
        <is>
          <t>Metric</t>
        </is>
      </c>
      <c r="B4" s="21" t="inlineStr">
        <is>
          <t>Adversarial mix</t>
        </is>
      </c>
      <c r="C4" s="21" t="inlineStr">
        <is>
          <t>Realistic mix</t>
        </is>
      </c>
      <c r="D4" s="21" t="inlineStr">
        <is>
          <t>Total</t>
        </is>
      </c>
      <c r="E4" s="21" t="inlineStr">
        <is>
          <t>Target</t>
        </is>
      </c>
      <c r="F4" s="21" t="inlineStr">
        <is>
          <t>Status</t>
        </is>
      </c>
      <c r="G4" s="21" t="inlineStr">
        <is>
          <t>What it shows</t>
        </is>
      </c>
    </row>
    <row r="5">
      <c r="A5" s="22" t="inlineStr">
        <is>
          <t>Orders generated</t>
        </is>
      </c>
      <c r="B5" s="23" t="n">
        <v>10000</v>
      </c>
      <c r="C5" s="23" t="n">
        <v>10000</v>
      </c>
      <c r="D5" s="23">
        <f>B5+C5</f>
        <v>20000</v>
      </c>
      <c r="E5" s="23" t="n"/>
      <c r="F5" s="22" t="n"/>
      <c r="G5" s="22" t="inlineStr">
        <is>
          <t>Adversarial: any SKU, unit, currency, buyer. Realistic: right SKU/unit, mostly approved buyer, terms near the limits.</t>
        </is>
      </c>
    </row>
    <row r="6">
      <c r="A6" s="22" t="inlineStr">
        <is>
          <t xml:space="preserve">  Green (inside rules, under auto-accept)</t>
        </is>
      </c>
      <c r="B6" s="23" t="n">
        <v>42</v>
      </c>
      <c r="C6" s="23" t="n">
        <v>762</v>
      </c>
      <c r="D6" s="23">
        <f>B6+C6</f>
        <v>804</v>
      </c>
      <c r="E6" s="23" t="n"/>
      <c r="F6" s="22" t="n"/>
      <c r="G6" s="22" t="inlineStr">
        <is>
          <t>Handled and signed with no vendor action.</t>
        </is>
      </c>
    </row>
    <row r="7">
      <c r="A7" s="22" t="inlineStr">
        <is>
          <t xml:space="preserve">  Amber (inside rules, needs vendor OK)</t>
        </is>
      </c>
      <c r="B7" s="23" t="n">
        <v>10</v>
      </c>
      <c r="C7" s="23" t="n">
        <v>356</v>
      </c>
      <c r="D7" s="23">
        <f>B7+C7</f>
        <v>366</v>
      </c>
      <c r="E7" s="23" t="n"/>
      <c r="F7" s="22" t="n"/>
      <c r="G7" s="22" t="inlineStr">
        <is>
          <t>Waits for the vendor's spoken yes.</t>
        </is>
      </c>
    </row>
    <row r="8">
      <c r="A8" s="22" t="inlineStr">
        <is>
          <t xml:space="preserve">  Red (outside rules → counter)</t>
        </is>
      </c>
      <c r="B8" s="23" t="n">
        <v>3834</v>
      </c>
      <c r="C8" s="23" t="n">
        <v>8384</v>
      </c>
      <c r="D8" s="23">
        <f>B8+C8</f>
        <v>12218</v>
      </c>
      <c r="E8" s="23" t="n"/>
      <c r="F8" s="22" t="n"/>
      <c r="G8" s="22" t="inlineStr">
        <is>
          <t>Guardian writes a counter-offer inside the rules.</t>
        </is>
      </c>
    </row>
    <row r="9">
      <c r="A9" s="22" t="inlineStr">
        <is>
          <t xml:space="preserve">  Decline</t>
        </is>
      </c>
      <c r="B9" s="23" t="n">
        <v>6114</v>
      </c>
      <c r="C9" s="23" t="n">
        <v>498</v>
      </c>
      <c r="D9" s="23">
        <f>B9+C9</f>
        <v>6612</v>
      </c>
      <c r="E9" s="23" t="n"/>
      <c r="F9" s="22" t="n"/>
      <c r="G9" s="22" t="inlineStr">
        <is>
          <t>Unknown SKU/unit, wrong currency or buyer not approved.</t>
        </is>
      </c>
    </row>
    <row r="10">
      <c r="A10" s="22" t="inlineStr">
        <is>
          <t>Decisions matching the independent oracle</t>
        </is>
      </c>
      <c r="B10" s="23" t="n">
        <v>10000</v>
      </c>
      <c r="C10" s="23" t="n">
        <v>10000</v>
      </c>
      <c r="D10" s="23">
        <f>B10+C10</f>
        <v>20000</v>
      </c>
      <c r="E10" s="23" t="n"/>
      <c r="F10" s="22" t="n"/>
      <c r="G10" s="22" t="inlineStr">
        <is>
          <t>Inside / outside the mandate, decided two independent ways.</t>
        </is>
      </c>
    </row>
    <row r="11">
      <c r="A11" s="24" t="inlineStr">
        <is>
          <t>Oracle agreement rate</t>
        </is>
      </c>
      <c r="B11" s="25">
        <f>B10/B5</f>
        <v>1</v>
      </c>
      <c r="C11" s="25">
        <f>C10/C5</f>
        <v>1</v>
      </c>
      <c r="D11" s="25">
        <f>D10/D5</f>
        <v>1</v>
      </c>
      <c r="E11" s="25" t="n">
        <v>1</v>
      </c>
      <c r="F11" s="24" t="str">
        <f>IF(D11&gt;=E11,"Met","Missed")</f>
        <v>Met</v>
      </c>
      <c r="G11" s="24" t="inlineStr">
        <is>
          <t>The deterministic Guardian gets every decision right.</t>
        </is>
      </c>
    </row>
    <row r="12">
      <c r="A12" s="22" t="inlineStr">
        <is>
          <t>Red orders whose counter is inside the mandate</t>
        </is>
      </c>
      <c r="B12" s="23" t="n">
        <v>3834</v>
      </c>
      <c r="C12" s="23" t="n">
        <v>8384</v>
      </c>
      <c r="D12" s="23">
        <f>B12+C12</f>
        <v>12218</v>
      </c>
      <c r="E12" s="23" t="n"/>
      <c r="F12" s="22" t="n"/>
      <c r="G12" s="22" t="inlineStr">
        <is>
          <t>Counter re-evaluated: green or amber, version + 1.</t>
        </is>
      </c>
    </row>
    <row r="13">
      <c r="A13" s="24" t="inlineStr">
        <is>
          <t>Counter-inside rate</t>
        </is>
      </c>
      <c r="B13" s="25">
        <f>B12/B8</f>
        <v>1</v>
      </c>
      <c r="C13" s="25">
        <f>C12/C8</f>
        <v>1</v>
      </c>
      <c r="D13" s="25">
        <f>D12/D8</f>
        <v>1</v>
      </c>
      <c r="E13" s="25" t="n">
        <v>1</v>
      </c>
      <c r="F13" s="24" t="str">
        <f>IF(D13&gt;=E13,"Met","Missed")</f>
        <v>Met</v>
      </c>
      <c r="G13" s="24" t="inlineStr">
        <is>
          <t>A counter never breaks the vendor's own rules.</t>
        </is>
      </c>
    </row>
    <row r="14">
      <c r="A14" s="22" t="inlineStr">
        <is>
          <t>Signing attempts without valid consent</t>
        </is>
      </c>
      <c r="B14" s="23" t="n">
        <v>33834</v>
      </c>
      <c r="C14" s="23" t="n">
        <v>38384</v>
      </c>
      <c r="D14" s="23">
        <f>B14+C14</f>
        <v>72218</v>
      </c>
      <c r="E14" s="23" t="n"/>
      <c r="F14" s="22" t="n"/>
      <c r="G14" s="22" t="inlineStr">
        <is>
          <t>Per order: no consent, consent for other terms, another vendor's consent, consent for the counter.</t>
        </is>
      </c>
    </row>
    <row r="15">
      <c r="A15" s="24" t="inlineStr">
        <is>
          <t xml:space="preserve">  Of those, signed outside rules or over auto-accept</t>
        </is>
      </c>
      <c r="B15" s="26" t="n">
        <v>0</v>
      </c>
      <c r="C15" s="26" t="n">
        <v>0</v>
      </c>
      <c r="D15" s="26">
        <f>B15+C15</f>
        <v>0</v>
      </c>
      <c r="E15" s="26" t="n">
        <v>0</v>
      </c>
      <c r="F15" s="24" t="str">
        <f>IF(D15&lt;=E15,"Met","Missed")</f>
        <v>Met</v>
      </c>
      <c r="G15" s="24" t="inlineStr">
        <is>
          <t>Approach §13 target: zero.</t>
        </is>
      </c>
    </row>
    <row r="16">
      <c r="A16" s="22" t="inlineStr">
        <is>
          <t>In-rule orders under auto-accept</t>
        </is>
      </c>
      <c r="B16" s="23" t="n">
        <v>42</v>
      </c>
      <c r="C16" s="23" t="n">
        <v>762</v>
      </c>
      <c r="D16" s="23">
        <f>B16+C16</f>
        <v>804</v>
      </c>
      <c r="E16" s="23" t="n"/>
      <c r="F16" s="22" t="n"/>
      <c r="G16" s="22" t="inlineStr">
        <is>
          <t>Orders the vendor's rules say need no action from her.</t>
        </is>
      </c>
    </row>
    <row r="17">
      <c r="A17" s="22" t="inlineStr">
        <is>
          <t xml:space="preserve">  Of those, signed with no vendor action</t>
        </is>
      </c>
      <c r="B17" s="23" t="n">
        <v>42</v>
      </c>
      <c r="C17" s="23" t="n">
        <v>762</v>
      </c>
      <c r="D17" s="23">
        <f>B17+C17</f>
        <v>804</v>
      </c>
      <c r="E17" s="23" t="n"/>
      <c r="F17" s="22" t="n"/>
      <c r="G17" s="22" t="inlineStr"/>
    </row>
    <row r="18">
      <c r="A18" s="24" t="inlineStr">
        <is>
          <t>Auto-handle rate (in-rule, under auto-accept)</t>
        </is>
      </c>
      <c r="B18" s="25">
        <f>B17/B16</f>
        <v>1</v>
      </c>
      <c r="C18" s="25">
        <f>C17/C16</f>
        <v>1</v>
      </c>
      <c r="D18" s="25">
        <f>D17/D16</f>
        <v>1</v>
      </c>
      <c r="E18" s="25" t="n">
        <v>1</v>
      </c>
      <c r="F18" s="24" t="str">
        <f>IF(D18&gt;=E18,"Met","Missed")</f>
        <v>Met</v>
      </c>
      <c r="G18" s="24" t="inlineStr">
        <is>
          <t>Nothing inside her rules waits on her.</t>
        </is>
      </c>
    </row>
    <row r="19">
      <c r="A19" s="22" t="inlineStr">
        <is>
          <t>Orders with matching consent (not declined)</t>
        </is>
      </c>
      <c r="B19" s="23" t="n">
        <v>3886</v>
      </c>
      <c r="C19" s="23" t="n">
        <v>9502</v>
      </c>
      <c r="D19" s="23">
        <f>B19+C19</f>
        <v>13388</v>
      </c>
      <c r="E19" s="23" t="n"/>
      <c r="F19" s="22" t="n"/>
      <c r="G19" s="22" t="inlineStr">
        <is>
          <t>Consent hash = sha256(canonical_json(exact proposal)).</t>
        </is>
      </c>
    </row>
    <row r="20">
      <c r="A20" s="22" t="inlineStr">
        <is>
          <t xml:space="preserve">  Of those, signed</t>
        </is>
      </c>
      <c r="B20" s="23" t="n">
        <v>3886</v>
      </c>
      <c r="C20" s="23" t="n">
        <v>9502</v>
      </c>
      <c r="D20" s="23">
        <f>B20+C20</f>
        <v>13388</v>
      </c>
      <c r="E20" s="23" t="n"/>
      <c r="F20" s="22" t="n"/>
      <c r="G20" s="22" t="inlineStr"/>
    </row>
    <row r="21">
      <c r="A21" s="24" t="inlineStr">
        <is>
          <t>Consent honoured rate</t>
        </is>
      </c>
      <c r="B21" s="25">
        <f>B20/B19</f>
        <v>1</v>
      </c>
      <c r="C21" s="25">
        <f>C20/C19</f>
        <v>1</v>
      </c>
      <c r="D21" s="25">
        <f>D20/D19</f>
        <v>1</v>
      </c>
      <c r="E21" s="25" t="n">
        <v>1</v>
      </c>
      <c r="F21" s="24" t="str">
        <f>IF(D21&gt;=E21,"Met","Missed")</f>
        <v>Met</v>
      </c>
      <c r="G21" s="24" t="inlineStr">
        <is>
          <t>Her yes always takes effect; safety does not block real deals.</t>
        </is>
      </c>
    </row>
    <row r="22">
      <c r="A22" s="22" t="inlineStr">
        <is>
          <t>Decision latency p50 (µs)</t>
        </is>
      </c>
      <c r="B22" s="27" t="n">
        <v>11.5</v>
      </c>
      <c r="C22" s="27" t="n">
        <v>15.5</v>
      </c>
      <c r="D22" s="27" t="n"/>
      <c r="E22" s="23" t="n"/>
      <c r="F22" s="22" t="inlineStr">
        <is>
          <t>Info</t>
        </is>
      </c>
      <c r="G22" s="22" t="inlineStr">
        <is>
          <t>Pure rules evaluation, no LLM call; Apple-silicon laptop.</t>
        </is>
      </c>
    </row>
    <row r="23">
      <c r="A23" s="22" t="inlineStr">
        <is>
          <t>Decision latency p95 (µs)</t>
        </is>
      </c>
      <c r="B23" s="27" t="n">
        <v>20.8</v>
      </c>
      <c r="C23" s="27" t="n">
        <v>21.6</v>
      </c>
      <c r="D23" s="27" t="n"/>
      <c r="E23" s="23" t="n"/>
      <c r="F23" s="22" t="inlineStr">
        <is>
          <t>Info</t>
        </is>
      </c>
      <c r="G23" s="22" t="inlineStr"/>
    </row>
    <row r="24">
      <c r="A24" s="22" t="inlineStr">
        <is>
          <t>Decision latency p99 (µs)</t>
        </is>
      </c>
      <c r="B24" s="27" t="n">
        <v>24.1</v>
      </c>
      <c r="C24" s="27" t="n">
        <v>26.3</v>
      </c>
      <c r="D24" s="27">
        <f>MAX(B24:C24)</f>
        <v>26.3</v>
      </c>
      <c r="E24" s="23" t="n"/>
      <c r="F24" s="22" t="inlineStr">
        <is>
          <t>Info</t>
        </is>
      </c>
      <c r="G24" s="22" t="inlineStr">
        <is>
          <t>Worst of the two runs.</t>
        </is>
      </c>
    </row>
    <row r="26">
      <c r="A26" s="20" t="inlineStr">
        <is>
          <t>Also covered by Hypothesis property tests in the suite: 4 properties × 300 generated cases = 1,200 cases per run (tests/unit/guardian/test_guardian_properties.py).</t>
        </is>
      </c>
    </row>
  </sheetData>
  <conditionalFormatting sqref="F5:F24">
    <cfRule type="cellIs" priority="1" operator="equal" dxfId="0">
      <formula>"Met"</formula>
    </cfRule>
    <cfRule type="cellIs" priority="2" operator="equal" dxfId="0">
      <formula>"Pass"</formula>
    </cfRule>
    <cfRule type="cellIs" priority="3" operator="equal" dxfId="0">
      <formula>"Blocked"</formula>
    </cfRule>
    <cfRule type="cellIs" priority="4" operator="equal" dxfId="1">
      <formula>"Proxy"</formula>
    </cfRule>
    <cfRule type="cellIs" priority="5" operator="equal" dxfId="1">
      <formula>"Info"</formula>
    </cfRule>
    <cfRule type="cellIs" priority="6" operator="equal" dxfId="2">
      <formula>"Pilot"</formula>
    </cfRule>
    <cfRule type="cellIs" priority="7" operator="equal" dxfId="2">
      <formula>"Not run"</formula>
    </cfRule>
    <cfRule type="cellIs" priority="8" operator="equal" dxfId="2">
      <formula>"Not in MVP"</formula>
    </cfRule>
    <cfRule type="cellIs" priority="9" operator="equal" dxfId="3">
      <formula>"Missed"</formula>
    </cfRule>
    <cfRule type="cellIs" priority="10" operator="equal" dxfId="3">
      <formula>"Fail"</formula>
    </cfRule>
  </conditionalFormatting>
  <pageMargins left="0.4" right="0.4" top="0.4" bottom="0.4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40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19" t="inlineStr">
        <is>
          <t>Trust Gateway and Guardian: attack attempts</t>
        </is>
      </c>
    </row>
    <row r="2">
      <c r="A2" s="20" t="inlineStr">
        <is>
          <t>Every cross-tenant call goes through the gateway relay (deny by default); only the Guardian signs.</t>
        </is>
      </c>
    </row>
    <row r="4" ht="28" customHeight="1">
      <c r="A4" s="21" t="inlineStr">
        <is>
          <t>No.</t>
        </is>
      </c>
      <c r="B4" s="21" t="inlineStr">
        <is>
          <t>Attack</t>
        </is>
      </c>
      <c r="C4" s="21" t="inlineStr">
        <is>
          <t>Observed result</t>
        </is>
      </c>
      <c r="D4" s="21" t="inlineStr">
        <is>
          <t>Attempts</t>
        </is>
      </c>
      <c r="E4" s="21" t="inlineStr">
        <is>
          <t>Blocked</t>
        </is>
      </c>
      <c r="F4" s="21" t="inlineStr">
        <is>
          <t>Block rate</t>
        </is>
      </c>
      <c r="G4" s="21" t="inlineStr">
        <is>
          <t>Status</t>
        </is>
      </c>
    </row>
    <row r="5">
      <c r="A5" s="22" t="n">
        <v>1</v>
      </c>
      <c r="B5" s="22" t="inlineStr">
        <is>
          <t>Impostor asks for a token as Maya's agent with its own key</t>
        </is>
      </c>
      <c r="C5" s="22" t="inlineStr">
        <is>
          <t>401 bad_signature; logged as a security event</t>
        </is>
      </c>
      <c r="D5" s="23" t="n">
        <v>1</v>
      </c>
      <c r="E5" s="23" t="n">
        <v>1</v>
      </c>
      <c r="F5" s="28">
        <f>E5/D5</f>
        <v>1</v>
      </c>
      <c r="G5" s="22" t="str">
        <f>IF(F5=1,"Blocked","Missed")</f>
        <v>Blocked</v>
      </c>
    </row>
    <row r="6">
      <c r="A6" s="22" t="n">
        <v>2</v>
      </c>
      <c r="B6" s="22" t="inlineStr">
        <is>
          <t>Impostor mints its own token and calls the relay</t>
        </is>
      </c>
      <c r="C6" s="22" t="inlineStr">
        <is>
          <t>401 bad_token</t>
        </is>
      </c>
      <c r="D6" s="23" t="n">
        <v>1</v>
      </c>
      <c r="E6" s="23" t="n">
        <v>1</v>
      </c>
      <c r="F6" s="28">
        <f>E6/D6</f>
        <v>1</v>
      </c>
      <c r="G6" s="22" t="str">
        <f>IF(F6=1,"Blocked","Missed")</f>
        <v>Blocked</v>
      </c>
    </row>
    <row r="7">
      <c r="A7" s="22" t="n">
        <v>3</v>
      </c>
      <c r="B7" s="22" t="inlineStr">
        <is>
          <t>Impostor skips the gateway and calls the retailer's A2A endpoint</t>
        </is>
      </c>
      <c r="C7" s="22" t="inlineStr">
        <is>
          <t>not_from_gateway</t>
        </is>
      </c>
      <c r="D7" s="23" t="n">
        <v>1</v>
      </c>
      <c r="E7" s="23" t="n">
        <v>1</v>
      </c>
      <c r="F7" s="28">
        <f>E7/D7</f>
        <v>1</v>
      </c>
      <c r="G7" s="22" t="str">
        <f>IF(F7=1,"Blocked","Missed")</f>
        <v>Blocked</v>
      </c>
    </row>
    <row r="8">
      <c r="A8" s="22" t="n">
        <v>4</v>
      </c>
      <c r="B8" s="22" t="inlineStr">
        <is>
          <t>'FSSAI licence' PDF with hidden prompt-injection instructions</t>
        </is>
      </c>
      <c r="C8" s="22" t="inlineStr">
        <is>
          <t>BLOCKED_BY_SCREENING; vendor quarantined</t>
        </is>
      </c>
      <c r="D8" s="23" t="n">
        <v>1</v>
      </c>
      <c r="E8" s="23" t="n">
        <v>1</v>
      </c>
      <c r="F8" s="28">
        <f>E8/D8</f>
        <v>1</v>
      </c>
      <c r="G8" s="22" t="str">
        <f>IF(F8=1,"Blocked","Missed")</f>
        <v>Blocked</v>
      </c>
    </row>
    <row r="9">
      <c r="A9" s="22" t="n">
        <v>5</v>
      </c>
      <c r="B9" s="22" t="inlineStr">
        <is>
          <t>Quarantined vendor's agent tries to continue onboarding</t>
        </is>
      </c>
      <c r="C9" s="22" t="inlineStr">
        <is>
          <t>quarantined</t>
        </is>
      </c>
      <c r="D9" s="23" t="n">
        <v>1</v>
      </c>
      <c r="E9" s="23" t="n">
        <v>1</v>
      </c>
      <c r="F9" s="28">
        <f>E9/D9</f>
        <v>1</v>
      </c>
      <c r="G9" s="22" t="str">
        <f>IF(F9=1,"Blocked","Missed")</f>
        <v>Blocked</v>
      </c>
    </row>
    <row r="10">
      <c r="A10" s="22" t="n">
        <v>6</v>
      </c>
      <c r="B10" s="22" t="inlineStr">
        <is>
          <t>Call each gateway skill from the wrong party (14 skills)</t>
        </is>
      </c>
      <c r="C10" s="22" t="inlineStr">
        <is>
          <t>out_of_scope for every skill</t>
        </is>
      </c>
      <c r="D10" s="23" t="n">
        <v>14</v>
      </c>
      <c r="E10" s="23" t="n">
        <v>14</v>
      </c>
      <c r="F10" s="28">
        <f>E10/D10</f>
        <v>1</v>
      </c>
      <c r="G10" s="22" t="str">
        <f>IF(F10=1,"Blocked","Missed")</f>
        <v>Blocked</v>
      </c>
    </row>
    <row r="11">
      <c r="A11" s="22" t="n">
        <v>7</v>
      </c>
      <c r="B11" s="22" t="inlineStr">
        <is>
          <t>Forged standing mandate (fake signature, payment days changed)</t>
        </is>
      </c>
      <c r="C11" s="22" t="inlineStr">
        <is>
          <t>SigningRefused</t>
        </is>
      </c>
      <c r="D11" s="23" t="n">
        <v>1</v>
      </c>
      <c r="E11" s="23" t="n">
        <v>1</v>
      </c>
      <c r="F11" s="28">
        <f>E11/D11</f>
        <v>1</v>
      </c>
      <c r="G11" s="22" t="str">
        <f>IF(F11=1,"Blocked","Missed")</f>
        <v>Blocked</v>
      </c>
    </row>
    <row r="12">
      <c r="A12" s="22" t="n">
        <v>8</v>
      </c>
      <c r="B12" s="22" t="inlineStr">
        <is>
          <t>Tamper with an audit record (each of 50 positions)</t>
        </is>
      </c>
      <c r="C12" s="22" t="inlineStr">
        <is>
          <t>/audit/verify reports exactly that seq</t>
        </is>
      </c>
      <c r="D12" s="23" t="n">
        <v>50</v>
      </c>
      <c r="E12" s="23" t="n">
        <v>50</v>
      </c>
      <c r="F12" s="28">
        <f>E12/D12</f>
        <v>1</v>
      </c>
      <c r="G12" s="22" t="str">
        <f>IF(F12=1,"Blocked","Missed")</f>
        <v>Blocked</v>
      </c>
    </row>
    <row r="13">
      <c r="A13" s="22" t="n">
        <v>9</v>
      </c>
      <c r="B13" s="22" t="inlineStr">
        <is>
          <t>Get an order signed with no, wrong or another vendor's consent</t>
        </is>
      </c>
      <c r="C13" s="22" t="inlineStr">
        <is>
          <t>0 signatures outside her rules (see Guardian Stress)</t>
        </is>
      </c>
      <c r="D13" s="23">
        <f>'Guardian Stress'!D14</f>
        <v>72218</v>
      </c>
      <c r="E13" s="23">
        <f>'Guardian Stress'!D14-'Guardian Stress'!D15</f>
        <v>72218</v>
      </c>
      <c r="F13" s="28">
        <f>E13/D13</f>
        <v>1</v>
      </c>
      <c r="G13" s="22" t="str">
        <f>IF(F13=1,"Blocked","Missed")</f>
        <v>Blocked</v>
      </c>
    </row>
    <row r="14">
      <c r="A14" s="24" t="inlineStr"/>
      <c r="B14" s="24" t="inlineStr">
        <is>
          <t>Total</t>
        </is>
      </c>
      <c r="C14" s="24" t="inlineStr"/>
      <c r="D14" s="26">
        <f>SUM(D5:D13)</f>
        <v>72288</v>
      </c>
      <c r="E14" s="26">
        <f>SUM(E5:E13)</f>
        <v>72288</v>
      </c>
      <c r="F14" s="25">
        <f>E14/D14</f>
        <v>1</v>
      </c>
      <c r="G14" s="24" t="str">
        <f>IF(F14=1,"Blocked","Missed")</f>
        <v>Blocked</v>
      </c>
    </row>
    <row r="15">
      <c r="A15" s="24" t="inlineStr"/>
      <c r="B15" s="24" t="inlineStr">
        <is>
          <t>Total excluding the 72k consent attempts</t>
        </is>
      </c>
      <c r="C15" s="24" t="inlineStr"/>
      <c r="D15" s="26">
        <f>D14-D13</f>
        <v>70</v>
      </c>
      <c r="E15" s="26">
        <f>E14-E13</f>
        <v>70</v>
      </c>
      <c r="F15" s="25">
        <f>E15/D15</f>
        <v>1</v>
      </c>
      <c r="G15" s="24" t="str">
        <f>IF(F15=1,"Blocked","Missed")</f>
        <v>Blocked</v>
      </c>
    </row>
    <row r="17">
      <c r="B17" s="20" t="inlineStr">
        <is>
          <t>After the impostor attempts Maya's real agent stays active (unproven identity never triggers revocation); both denials are in the hash-chained audit log.</t>
        </is>
      </c>
    </row>
  </sheetData>
  <conditionalFormatting sqref="G5:G15">
    <cfRule type="cellIs" priority="1" operator="equal" dxfId="0">
      <formula>"Met"</formula>
    </cfRule>
    <cfRule type="cellIs" priority="2" operator="equal" dxfId="0">
      <formula>"Pass"</formula>
    </cfRule>
    <cfRule type="cellIs" priority="3" operator="equal" dxfId="0">
      <formula>"Blocked"</formula>
    </cfRule>
    <cfRule type="cellIs" priority="4" operator="equal" dxfId="1">
      <formula>"Proxy"</formula>
    </cfRule>
    <cfRule type="cellIs" priority="5" operator="equal" dxfId="1">
      <formula>"Info"</formula>
    </cfRule>
    <cfRule type="cellIs" priority="6" operator="equal" dxfId="2">
      <formula>"Pilot"</formula>
    </cfRule>
    <cfRule type="cellIs" priority="7" operator="equal" dxfId="2">
      <formula>"Not run"</formula>
    </cfRule>
    <cfRule type="cellIs" priority="8" operator="equal" dxfId="2">
      <formula>"Not in MVP"</formula>
    </cfRule>
    <cfRule type="cellIs" priority="9" operator="equal" dxfId="3">
      <formula>"Missed"</formula>
    </cfRule>
    <cfRule type="cellIs" priority="10" operator="equal" dxfId="3">
      <formula>"Fail"</formula>
    </cfRule>
  </conditionalFormatting>
  <pageMargins left="0.4" right="0.4" top="0.4" bottom="0.4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50" customWidth="1" min="2" max="2"/>
    <col width="11" customWidth="1" min="3" max="3"/>
    <col width="11" customWidth="1" min="4" max="4"/>
    <col width="11" customWidth="1" min="5" max="5"/>
    <col width="10" customWidth="1" min="6" max="6"/>
  </cols>
  <sheetData>
    <row r="1" ht="22" customHeight="1">
      <c r="A1" s="19" t="inlineStr">
        <is>
          <t>Automated test suite and scripted checks</t>
        </is>
      </c>
    </row>
    <row r="2">
      <c r="A2" s="20" t="inlineStr">
        <is>
          <t>uv run pytest -q --ignore=tests/evals → 305 passed in 11.9 s; scripts run in-process. Commit 0ec713d, 18 Oct 2026.</t>
        </is>
      </c>
    </row>
    <row r="4" ht="28" customHeight="1">
      <c r="A4" s="21" t="inlineStr">
        <is>
          <t>Suite</t>
        </is>
      </c>
      <c r="B4" s="21" t="inlineStr">
        <is>
          <t>What it covers</t>
        </is>
      </c>
      <c r="C4" s="21" t="inlineStr">
        <is>
          <t>Tests</t>
        </is>
      </c>
      <c r="D4" s="21" t="inlineStr">
        <is>
          <t>Passed</t>
        </is>
      </c>
      <c r="E4" s="21" t="inlineStr">
        <is>
          <t>Pass rate</t>
        </is>
      </c>
      <c r="F4" s="21" t="inlineStr">
        <is>
          <t>Status</t>
        </is>
      </c>
    </row>
    <row r="5">
      <c r="A5" s="22" t="inlineStr">
        <is>
          <t>Unit · Guardian</t>
        </is>
      </c>
      <c r="B5" s="22" t="inlineStr">
        <is>
          <t>Each reason code, counters, timezone, listing review, 4 Hypothesis properties</t>
        </is>
      </c>
      <c r="C5" s="23" t="n">
        <v>32</v>
      </c>
      <c r="D5" s="23" t="n">
        <v>32</v>
      </c>
      <c r="E5" s="28">
        <f>D5/C5</f>
        <v>1</v>
      </c>
      <c r="F5" s="22" t="str">
        <f>IF(E5=1,"Pass","Fail")</f>
        <v>Pass</v>
      </c>
    </row>
    <row r="6">
      <c r="A6" s="22" t="inlineStr">
        <is>
          <t>Unit · Trust Gateway</t>
        </is>
      </c>
      <c r="B6" s="22" t="inlineStr">
        <is>
          <t>Policy (deny by default), relay, tokens, audit chain, mandates, screening, scoring</t>
        </is>
      </c>
      <c r="C6" s="23" t="n">
        <v>54</v>
      </c>
      <c r="D6" s="23" t="n">
        <v>54</v>
      </c>
      <c r="E6" s="28">
        <f>D6/C6</f>
        <v>1</v>
      </c>
      <c r="F6" s="22" t="str">
        <f>IF(E6=1,"Pass","Fail")</f>
        <v>Pass</v>
      </c>
    </row>
    <row r="7">
      <c r="A7" s="22" t="inlineStr">
        <is>
          <t>Unit · Agents</t>
        </is>
      </c>
      <c r="B7" s="22" t="inlineStr">
        <is>
          <t>Registry, capability matching, Concierge, Orchestrator, channels</t>
        </is>
      </c>
      <c r="C7" s="23" t="n">
        <v>40</v>
      </c>
      <c r="D7" s="23" t="n">
        <v>40</v>
      </c>
      <c r="E7" s="28">
        <f>D7/C7</f>
        <v>1</v>
      </c>
      <c r="F7" s="22" t="str">
        <f>IF(E7=1,"Pass","Fail")</f>
        <v>Pass</v>
      </c>
    </row>
    <row r="8">
      <c r="A8" s="22" t="inlineStr">
        <is>
          <t>Unit · Human in the loop</t>
        </is>
      </c>
      <c r="B8" s="22" t="inlineStr">
        <is>
          <t>Liaison routing, reminders, escalation, expiry</t>
        </is>
      </c>
      <c r="C8" s="23" t="n">
        <v>16</v>
      </c>
      <c r="D8" s="23" t="n">
        <v>16</v>
      </c>
      <c r="E8" s="28">
        <f>D8/C8</f>
        <v>1</v>
      </c>
      <c r="F8" s="22" t="str">
        <f>IF(E8=1,"Pass","Fail")</f>
        <v>Pass</v>
      </c>
    </row>
    <row r="9">
      <c r="A9" s="22" t="inlineStr">
        <is>
          <t>Unit · Shared core (vl_core)</t>
        </is>
      </c>
      <c r="B9" s="22" t="inlineStr">
        <is>
          <t>Canonical JSON, schemas, config, i18n, crypto/signer, store, LLM, imaging, cloud adapters</t>
        </is>
      </c>
      <c r="C9" s="23" t="n">
        <v>94</v>
      </c>
      <c r="D9" s="23" t="n">
        <v>94</v>
      </c>
      <c r="E9" s="28">
        <f>D9/C9</f>
        <v>1</v>
      </c>
      <c r="F9" s="22" t="str">
        <f>IF(E9=1,"Pass","Fail")</f>
        <v>Pass</v>
      </c>
    </row>
    <row r="10">
      <c r="A10" s="22" t="inlineStr">
        <is>
          <t>Contract</t>
        </is>
      </c>
      <c r="B10" s="22" t="inlineStr">
        <is>
          <t>Every registered agent card: schema in / schema out</t>
        </is>
      </c>
      <c r="C10" s="23" t="n">
        <v>28</v>
      </c>
      <c r="D10" s="23" t="n">
        <v>28</v>
      </c>
      <c r="E10" s="28">
        <f>D10/C10</f>
        <v>1</v>
      </c>
      <c r="F10" s="22" t="str">
        <f>IF(E10=1,"Pass","Fail")</f>
        <v>Pass</v>
      </c>
    </row>
    <row r="11">
      <c r="A11" s="22" t="inlineStr">
        <is>
          <t>End-to-end</t>
        </is>
      </c>
      <c r="B11" s="22" t="inlineStr">
        <is>
          <t>Order loop, A→B switch, human loop, listing enrichment, control plane, demo scenes, API</t>
        </is>
      </c>
      <c r="C11" s="23" t="n">
        <v>39</v>
      </c>
      <c r="D11" s="23" t="n">
        <v>39</v>
      </c>
      <c r="E11" s="28">
        <f>D11/C11</f>
        <v>1</v>
      </c>
      <c r="F11" s="22" t="str">
        <f>IF(E11=1,"Pass","Fail")</f>
        <v>Pass</v>
      </c>
    </row>
    <row r="12">
      <c r="A12" s="22" t="inlineStr">
        <is>
          <t>Attack</t>
        </is>
      </c>
      <c r="B12" s="22" t="inlineStr">
        <is>
          <t>Impostor agent, injected document</t>
        </is>
      </c>
      <c r="C12" s="23" t="n">
        <v>2</v>
      </c>
      <c r="D12" s="23" t="n">
        <v>2</v>
      </c>
      <c r="E12" s="28">
        <f>D12/C12</f>
        <v>1</v>
      </c>
      <c r="F12" s="22" t="str">
        <f>IF(E12=1,"Pass","Fail")</f>
        <v>Pass</v>
      </c>
    </row>
    <row r="13">
      <c r="A13" s="24" t="inlineStr">
        <is>
          <t>Total (pytest)</t>
        </is>
      </c>
      <c r="B13" s="24" t="inlineStr"/>
      <c r="C13" s="26">
        <f>SUM(C5:C12)</f>
        <v>305</v>
      </c>
      <c r="D13" s="26">
        <f>SUM(D5:D12)</f>
        <v>305</v>
      </c>
      <c r="E13" s="25">
        <f>D13/C13</f>
        <v>1</v>
      </c>
      <c r="F13" s="24" t="str">
        <f>IF(E13=1,"Pass","Fail")</f>
        <v>Pass</v>
      </c>
    </row>
    <row r="15">
      <c r="A15" s="11" t="inlineStr">
        <is>
          <t>Scripted checks</t>
        </is>
      </c>
    </row>
    <row r="16" ht="28" customHeight="1">
      <c r="A16" s="21" t="inlineStr">
        <is>
          <t>Script</t>
        </is>
      </c>
      <c r="B16" s="21" t="inlineStr">
        <is>
          <t>What it proves</t>
        </is>
      </c>
      <c r="C16" s="21" t="inlineStr">
        <is>
          <t>Checks</t>
        </is>
      </c>
      <c r="D16" s="21" t="inlineStr">
        <is>
          <t>Passed</t>
        </is>
      </c>
      <c r="E16" s="21" t="inlineStr">
        <is>
          <t>Pass rate</t>
        </is>
      </c>
      <c r="F16" s="21" t="inlineStr">
        <is>
          <t>Status</t>
        </is>
      </c>
    </row>
    <row r="17">
      <c r="A17" s="22" t="inlineStr">
        <is>
          <t>scripts/e2e_order_loop.py</t>
        </is>
      </c>
      <c r="B17" s="22" t="inlineStr">
        <is>
          <t>Hero order red → counter → Slack approval → spoken consent → Order Mandate; green and amber paths; audit chain of 59 records verifies</t>
        </is>
      </c>
      <c r="C17" s="23" t="n">
        <v>20</v>
      </c>
      <c r="D17" s="23" t="n">
        <v>20</v>
      </c>
      <c r="E17" s="28">
        <f>D17/C17</f>
        <v>1</v>
      </c>
      <c r="F17" s="22" t="str">
        <f>IF(E17=1,"Pass","Fail")</f>
        <v>Pass</v>
      </c>
    </row>
    <row r="18">
      <c r="A18" s="22" t="inlineStr">
        <is>
          <t>scripts/attack_impostor.py</t>
        </is>
      </c>
      <c r="B18" s="22" t="inlineStr">
        <is>
          <t>3 impostor vectors blocked (bad signature, self-minted token, gateway bypass)</t>
        </is>
      </c>
      <c r="C18" s="23" t="n">
        <v>3</v>
      </c>
      <c r="D18" s="23" t="n">
        <v>3</v>
      </c>
      <c r="E18" s="28">
        <f>D18/C18</f>
        <v>1</v>
      </c>
      <c r="F18" s="22" t="str">
        <f>IF(E18=1,"Pass","Fail")</f>
        <v>Pass</v>
      </c>
    </row>
    <row r="19">
      <c r="A19" s="22" t="inlineStr">
        <is>
          <t>scripts/attack_injected_doc.py</t>
        </is>
      </c>
      <c r="B19" s="22" t="inlineStr">
        <is>
          <t>Hidden-instruction PDF blocked by screening; quarantined vendor cannot continue</t>
        </is>
      </c>
      <c r="C19" s="23" t="n">
        <v>2</v>
      </c>
      <c r="D19" s="23" t="n">
        <v>2</v>
      </c>
      <c r="E19" s="28">
        <f>D19/C19</f>
        <v>1</v>
      </c>
      <c r="F19" s="22" t="str">
        <f>IF(E19=1,"Pass","Fail")</f>
        <v>Pass</v>
      </c>
    </row>
    <row r="20">
      <c r="A20" s="22" t="inlineStr">
        <is>
          <t>scripts/api_check.py</t>
        </is>
      </c>
      <c r="B20" s="22" t="inlineStr">
        <is>
          <t>Every route of every service exercised (or streamed), no server errors</t>
        </is>
      </c>
      <c r="C20" s="23" t="n">
        <v>115</v>
      </c>
      <c r="D20" s="23" t="n">
        <v>115</v>
      </c>
      <c r="E20" s="28">
        <f>D20/C20</f>
        <v>1</v>
      </c>
      <c r="F20" s="22" t="str">
        <f>IF(E20=1,"Pass","Fail")</f>
        <v>Pass</v>
      </c>
    </row>
    <row r="21">
      <c r="A21" s="22" t="inlineStr">
        <is>
          <t>Audit tamper sweep (one-off)</t>
        </is>
      </c>
      <c r="B21" s="22" t="inlineStr">
        <is>
          <t>Tamper each of 50 records in turn → /audit/verify names exactly that seq</t>
        </is>
      </c>
      <c r="C21" s="23" t="n">
        <v>50</v>
      </c>
      <c r="D21" s="23" t="n">
        <v>50</v>
      </c>
      <c r="E21" s="28">
        <f>D21/C21</f>
        <v>1</v>
      </c>
      <c r="F21" s="22" t="str">
        <f>IF(E21=1,"Pass","Fail")</f>
        <v>Pass</v>
      </c>
    </row>
    <row r="22">
      <c r="A22" s="22" t="inlineStr">
        <is>
          <t>Guardian stress (one-off)</t>
        </is>
      </c>
      <c r="B22" s="22" t="inlineStr">
        <is>
          <t>20,000 random orders vs. independent oracle (see Guardian Stress)</t>
        </is>
      </c>
      <c r="C22" s="23" t="n">
        <v>20000</v>
      </c>
      <c r="D22" s="23" t="n">
        <v>20000</v>
      </c>
      <c r="E22" s="28">
        <f>D22/C22</f>
        <v>1</v>
      </c>
      <c r="F22" s="22" t="str">
        <f>IF(E22=1,"Pass","Fail")</f>
        <v>Pass</v>
      </c>
    </row>
  </sheetData>
  <conditionalFormatting sqref="F5:F23">
    <cfRule type="cellIs" priority="1" operator="equal" dxfId="0">
      <formula>"Met"</formula>
    </cfRule>
    <cfRule type="cellIs" priority="2" operator="equal" dxfId="0">
      <formula>"Pass"</formula>
    </cfRule>
    <cfRule type="cellIs" priority="3" operator="equal" dxfId="0">
      <formula>"Blocked"</formula>
    </cfRule>
    <cfRule type="cellIs" priority="4" operator="equal" dxfId="1">
      <formula>"Proxy"</formula>
    </cfRule>
    <cfRule type="cellIs" priority="5" operator="equal" dxfId="1">
      <formula>"Info"</formula>
    </cfRule>
    <cfRule type="cellIs" priority="6" operator="equal" dxfId="2">
      <formula>"Pilot"</formula>
    </cfRule>
    <cfRule type="cellIs" priority="7" operator="equal" dxfId="2">
      <formula>"Not run"</formula>
    </cfRule>
    <cfRule type="cellIs" priority="8" operator="equal" dxfId="2">
      <formula>"Not in MVP"</formula>
    </cfRule>
    <cfRule type="cellIs" priority="9" operator="equal" dxfId="3">
      <formula>"Missed"</formula>
    </cfRule>
    <cfRule type="cellIs" priority="10" operator="equal" dxfId="3">
      <formula>"Fail"</formula>
    </cfRule>
  </conditionalFormatting>
  <pageMargins left="0.4" right="0.4" top="0.4" bottom="0.4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1" customWidth="1" min="3" max="3"/>
    <col width="9" customWidth="1" min="4" max="4"/>
    <col width="9" customWidth="1" min="5" max="5"/>
    <col width="10" customWidth="1" min="6" max="6"/>
    <col width="10" customWidth="1" min="7" max="7"/>
    <col width="10" customWidth="1" min="8" max="8"/>
    <col width="11" customWidth="1" min="9" max="9"/>
    <col width="58" customWidth="1" min="10" max="10"/>
  </cols>
  <sheetData>
    <row r="1" ht="22" customHeight="1">
      <c r="A1" s="19" t="inlineStr">
        <is>
          <t>Specialist eval sets (pass mark 80%, CLAUDE.md)</t>
        </is>
      </c>
    </row>
    <row r="2">
      <c r="A2" s="20" t="inlineStr">
        <is>
          <t>uv run pytest tests/evals -q -s, 18 Oct 2026. Offline run: model calls off or scripted, so this measures the agents' deterministic logic and output handling, not model quality.</t>
        </is>
      </c>
    </row>
    <row r="4" ht="28" customHeight="1">
      <c r="A4" s="21" t="inlineStr">
        <is>
          <t>Specialist</t>
        </is>
      </c>
      <c r="B4" s="21" t="inlineStr">
        <is>
          <t>Capability</t>
        </is>
      </c>
      <c r="C4" s="21" t="inlineStr">
        <is>
          <t>Config</t>
        </is>
      </c>
      <c r="D4" s="21" t="inlineStr">
        <is>
          <t>Run?</t>
        </is>
      </c>
      <c r="E4" s="21" t="inlineStr">
        <is>
          <t>Cases</t>
        </is>
      </c>
      <c r="F4" s="21" t="inlineStr">
        <is>
          <t>Passed</t>
        </is>
      </c>
      <c r="G4" s="21" t="inlineStr">
        <is>
          <t>Score</t>
        </is>
      </c>
      <c r="H4" s="21" t="inlineStr">
        <is>
          <t>Pass mark</t>
        </is>
      </c>
      <c r="I4" s="21" t="inlineStr">
        <is>
          <t>Status</t>
        </is>
      </c>
      <c r="J4" s="21" t="inlineStr">
        <is>
          <t>Notes</t>
        </is>
      </c>
    </row>
    <row r="5">
      <c r="A5" s="22" t="inlineStr">
        <is>
          <t>Label &amp; Food-Safety Checker</t>
        </is>
      </c>
      <c r="B5" s="22" t="inlineStr">
        <is>
          <t>grade.label</t>
        </is>
      </c>
      <c r="C5" s="22" t="inlineStr">
        <is>
          <t>B</t>
        </is>
      </c>
      <c r="D5" s="22" t="inlineStr">
        <is>
          <t>Yes</t>
        </is>
      </c>
      <c r="E5" s="23" t="n">
        <v>10</v>
      </c>
      <c r="F5" s="23" t="n">
        <v>10</v>
      </c>
      <c r="G5" s="28">
        <f>IF(D5="Yes",F5/E5,"—")</f>
        <v>1</v>
      </c>
      <c r="H5" s="29" t="n">
        <v>0.8</v>
      </c>
      <c r="I5" s="22" t="str">
        <f>IF(D5&lt;&gt;"Yes","Not run",IF(G5&gt;=H5,"Pass","Fail"))</f>
        <v>Pass</v>
      </c>
      <c r="J5" s="22" t="inlineStr"/>
    </row>
    <row r="6">
      <c r="A6" s="22" t="inlineStr">
        <is>
          <t>Catalogue Builder</t>
        </is>
      </c>
      <c r="B6" s="22" t="inlineStr">
        <is>
          <t>catalogue.build</t>
        </is>
      </c>
      <c r="C6" s="22" t="inlineStr">
        <is>
          <t>A, B</t>
        </is>
      </c>
      <c r="D6" s="22" t="inlineStr">
        <is>
          <t>Yes</t>
        </is>
      </c>
      <c r="E6" s="23" t="n">
        <v>10</v>
      </c>
      <c r="F6" s="23" t="n">
        <v>9</v>
      </c>
      <c r="G6" s="28">
        <f>IF(D6="Yes",F6/E6,"—")</f>
        <v>0.9</v>
      </c>
      <c r="H6" s="29" t="n">
        <v>0.8</v>
      </c>
      <c r="I6" s="22" t="str">
        <f>IF(D6&lt;&gt;"Yes","Not run",IF(G6&gt;=H6,"Pass","Fail"))</f>
        <v>Pass</v>
      </c>
      <c r="J6" s="22" t="inlineStr">
        <is>
          <t>Failed case: rs_prefix. 9 of 10 answered by the deterministic parser (model off).</t>
        </is>
      </c>
    </row>
    <row r="7">
      <c r="A7" s="22" t="inlineStr">
        <is>
          <t>Onboarding Verifier</t>
        </is>
      </c>
      <c r="B7" s="22" t="inlineStr">
        <is>
          <t>vendor.verify</t>
        </is>
      </c>
      <c r="C7" s="22" t="inlineStr">
        <is>
          <t>A, B</t>
        </is>
      </c>
      <c r="D7" s="22" t="inlineStr">
        <is>
          <t>Yes</t>
        </is>
      </c>
      <c r="E7" s="23" t="n">
        <v>10</v>
      </c>
      <c r="F7" s="23" t="n">
        <v>10</v>
      </c>
      <c r="G7" s="28">
        <f>IF(D7="Yes",F7/E7,"—")</f>
        <v>1</v>
      </c>
      <c r="H7" s="29" t="n">
        <v>0.8</v>
      </c>
      <c r="I7" s="22" t="str">
        <f>IF(D7&lt;&gt;"Yes","Not run",IF(G7&gt;=H7,"Pass","Fail"))</f>
        <v>Pass</v>
      </c>
      <c r="J7" s="22" t="inlineStr">
        <is>
          <t>Against the simulated ID / bank / FSSAI / P-IRT registries.</t>
        </is>
      </c>
    </row>
    <row r="8">
      <c r="A8" s="22" t="inlineStr">
        <is>
          <t>Supplier Compliance Auditor</t>
        </is>
      </c>
      <c r="B8" s="22" t="inlineStr">
        <is>
          <t>compliance.check</t>
        </is>
      </c>
      <c r="C8" s="22" t="inlineStr">
        <is>
          <t>B</t>
        </is>
      </c>
      <c r="D8" s="22" t="inlineStr">
        <is>
          <t>Yes</t>
        </is>
      </c>
      <c r="E8" s="23" t="n">
        <v>10</v>
      </c>
      <c r="F8" s="23" t="n">
        <v>10</v>
      </c>
      <c r="G8" s="28">
        <f>IF(D8="Yes",F8/E8,"—")</f>
        <v>1</v>
      </c>
      <c r="H8" s="29" t="n">
        <v>0.8</v>
      </c>
      <c r="I8" s="22" t="str">
        <f>IF(D8&lt;&gt;"Yes","Not run",IF(G8&gt;=H8,"Pass","Fail"))</f>
        <v>Pass</v>
      </c>
      <c r="J8" s="22" t="inlineStr"/>
    </row>
    <row r="9">
      <c r="A9" s="22" t="inlineStr">
        <is>
          <t>Replenishment Planner</t>
        </is>
      </c>
      <c r="B9" s="22" t="inlineStr">
        <is>
          <t>order.create</t>
        </is>
      </c>
      <c r="C9" s="22" t="inlineStr">
        <is>
          <t>A</t>
        </is>
      </c>
      <c r="D9" s="22" t="inlineStr">
        <is>
          <t>Yes</t>
        </is>
      </c>
      <c r="E9" s="23" t="n">
        <v>8</v>
      </c>
      <c r="F9" s="23" t="n">
        <v>8</v>
      </c>
      <c r="G9" s="28">
        <f>IF(D9="Yes",F9/E9,"—")</f>
        <v>1</v>
      </c>
      <c r="H9" s="29" t="n">
        <v>0.8</v>
      </c>
      <c r="I9" s="22" t="str">
        <f>IF(D9&lt;&gt;"Yes","Not run",IF(G9&gt;=H9,"Pass","Fail"))</f>
        <v>Pass</v>
      </c>
      <c r="J9" s="22" t="inlineStr"/>
    </row>
    <row r="10">
      <c r="A10" s="22" t="inlineStr">
        <is>
          <t>Catalogue Image Checker</t>
        </is>
      </c>
      <c r="B10" s="22" t="inlineStr">
        <is>
          <t>image.assess</t>
        </is>
      </c>
      <c r="C10" s="22" t="inlineStr">
        <is>
          <t>A</t>
        </is>
      </c>
      <c r="D10" s="22" t="inlineStr">
        <is>
          <t>Yes</t>
        </is>
      </c>
      <c r="E10" s="23" t="n">
        <v>14</v>
      </c>
      <c r="F10" s="23" t="n">
        <v>14</v>
      </c>
      <c r="G10" s="28">
        <f>IF(D10="Yes",F10/E10,"—")</f>
        <v>1</v>
      </c>
      <c r="H10" s="29" t="n">
        <v>0.8</v>
      </c>
      <c r="I10" s="22" t="str">
        <f>IF(D10&lt;&gt;"Yes","Not run",IF(G10&gt;=H10,"Pass","Fail"))</f>
        <v>Pass</v>
      </c>
      <c r="J10" s="22" t="inlineStr">
        <is>
          <t>Scripted model reply; checks flag handling.</t>
        </is>
      </c>
    </row>
    <row r="11">
      <c r="A11" s="22" t="inlineStr">
        <is>
          <t>Image Enhancer</t>
        </is>
      </c>
      <c r="B11" s="22" t="inlineStr">
        <is>
          <t>image.enhance</t>
        </is>
      </c>
      <c r="C11" s="22" t="inlineStr">
        <is>
          <t>A</t>
        </is>
      </c>
      <c r="D11" s="22" t="inlineStr">
        <is>
          <t>Yes</t>
        </is>
      </c>
      <c r="E11" s="23" t="n">
        <v>13</v>
      </c>
      <c r="F11" s="23" t="n">
        <v>13</v>
      </c>
      <c r="G11" s="28">
        <f>IF(D11="Yes",F11/E11,"—")</f>
        <v>1</v>
      </c>
      <c r="H11" s="29" t="n">
        <v>0.8</v>
      </c>
      <c r="I11" s="22" t="str">
        <f>IF(D11&lt;&gt;"Yes","Not run",IF(G11&gt;=H11,"Pass","Fail"))</f>
        <v>Pass</v>
      </c>
      <c r="J11" s="22" t="inlineStr">
        <is>
          <t>Auto-enhance path; AI versions need IMAGE_MODEL.</t>
        </is>
      </c>
    </row>
    <row r="12">
      <c r="A12" s="22" t="inlineStr">
        <is>
          <t>Listing Enricher</t>
        </is>
      </c>
      <c r="B12" s="22" t="inlineStr">
        <is>
          <t>listing.enrich</t>
        </is>
      </c>
      <c r="C12" s="22" t="inlineStr">
        <is>
          <t>A</t>
        </is>
      </c>
      <c r="D12" s="22" t="inlineStr">
        <is>
          <t>Yes</t>
        </is>
      </c>
      <c r="E12" s="23" t="n">
        <v>14</v>
      </c>
      <c r="F12" s="23" t="n">
        <v>14</v>
      </c>
      <c r="G12" s="28">
        <f>IF(D12="Yes",F12/E12,"—")</f>
        <v>1</v>
      </c>
      <c r="H12" s="29" t="n">
        <v>0.8</v>
      </c>
      <c r="I12" s="22" t="str">
        <f>IF(D12&lt;&gt;"Yes","Not run",IF(G12&gt;=H12,"Pass","Fail"))</f>
        <v>Pass</v>
      </c>
      <c r="J12" s="22" t="inlineStr">
        <is>
          <t>Each fact tagged with its source; scripted model reply.</t>
        </is>
      </c>
    </row>
    <row r="13">
      <c r="A13" s="22" t="inlineStr">
        <is>
          <t>Produce Grader</t>
        </is>
      </c>
      <c r="B13" s="22" t="inlineStr">
        <is>
          <t>grade.produce</t>
        </is>
      </c>
      <c r="C13" s="22" t="inlineStr">
        <is>
          <t>base</t>
        </is>
      </c>
      <c r="D13" s="22" t="inlineStr">
        <is>
          <t>No</t>
        </is>
      </c>
      <c r="E13" s="23" t="n">
        <v>10</v>
      </c>
      <c r="F13" s="23" t="n"/>
      <c r="G13" s="28" t="str">
        <f>IF(D13="Yes",F13/E13,"—")</f>
        <v>—</v>
      </c>
      <c r="H13" s="29" t="n">
        <v>0.8</v>
      </c>
      <c r="I13" s="22" t="str">
        <f>IF(D13&lt;&gt;"Yes","Not run",IF(G13&gt;=H13,"Pass","Fail"))</f>
        <v>Not run</v>
      </c>
      <c r="J13" s="22" t="inlineStr">
        <is>
          <t>Skipped: needs FLASH_MODEL and 10 seed photos.</t>
        </is>
      </c>
    </row>
    <row r="14">
      <c r="A14" s="22" t="inlineStr">
        <is>
          <t>Craft Quality Checker</t>
        </is>
      </c>
      <c r="B14" s="22" t="inlineStr">
        <is>
          <t>grade.craft</t>
        </is>
      </c>
      <c r="C14" s="22" t="inlineStr">
        <is>
          <t>A</t>
        </is>
      </c>
      <c r="D14" s="22" t="inlineStr">
        <is>
          <t>No</t>
        </is>
      </c>
      <c r="E14" s="23" t="n">
        <v>10</v>
      </c>
      <c r="F14" s="23" t="n"/>
      <c r="G14" s="28" t="str">
        <f>IF(D14="Yes",F14/E14,"—")</f>
        <v>—</v>
      </c>
      <c r="H14" s="29" t="n">
        <v>0.8</v>
      </c>
      <c r="I14" s="22" t="str">
        <f>IF(D14&lt;&gt;"Yes","Not run",IF(G14&gt;=H14,"Pass","Fail"))</f>
        <v>Not run</v>
      </c>
      <c r="J14" s="22" t="inlineStr">
        <is>
          <t>Skipped: needs FLASH_MODEL and 10 seed photos.</t>
        </is>
      </c>
    </row>
    <row r="15">
      <c r="A15" s="24" t="inlineStr">
        <is>
          <t>Total (sets run)</t>
        </is>
      </c>
      <c r="B15" s="24" t="inlineStr"/>
      <c r="C15" s="24" t="inlineStr"/>
      <c r="D15" s="24" t="str">
        <f>COUNTIF(D5:D14,"Yes")&amp;" of "&amp;COUNTA(D5:D14)</f>
        <v>8 of 10</v>
      </c>
      <c r="E15" s="26">
        <f>SUMIF(D5:D14,"Yes",E5:E14)</f>
        <v>89</v>
      </c>
      <c r="F15" s="26">
        <f>SUMIF(D5:D14,"Yes",F5:F14)</f>
        <v>88</v>
      </c>
      <c r="G15" s="25">
        <f>F15/E15</f>
        <v>0.9887640449438202</v>
      </c>
      <c r="H15" s="30" t="n">
        <v>0.8</v>
      </c>
      <c r="I15" s="24" t="str">
        <f>IF(G15&gt;=H15,"Pass","Fail")</f>
        <v>Pass</v>
      </c>
      <c r="J15" s="24" t="inlineStr"/>
    </row>
    <row r="16">
      <c r="A16" s="24" t="inlineStr">
        <is>
          <t>Sets at or above the pass mark</t>
        </is>
      </c>
      <c r="B16" s="24" t="inlineStr"/>
      <c r="C16" s="24" t="inlineStr"/>
      <c r="D16" s="24" t="inlineStr"/>
      <c r="E16" s="26">
        <f>COUNTIF(D5:D14,"Yes")</f>
        <v>8</v>
      </c>
      <c r="F16" s="26">
        <f>COUNTIF(I5:I14,"Pass")</f>
        <v>8</v>
      </c>
      <c r="G16" s="25">
        <f>F16/E16</f>
        <v>1</v>
      </c>
      <c r="H16" s="24" t="n"/>
      <c r="I16" s="24" t="str">
        <f>IF(G16=1,"Pass","Fail")</f>
        <v>Pass</v>
      </c>
      <c r="J16" s="24" t="inlineStr"/>
    </row>
  </sheetData>
  <conditionalFormatting sqref="I5:I16">
    <cfRule type="cellIs" priority="1" operator="equal" dxfId="0">
      <formula>"Met"</formula>
    </cfRule>
    <cfRule type="cellIs" priority="2" operator="equal" dxfId="0">
      <formula>"Pass"</formula>
    </cfRule>
    <cfRule type="cellIs" priority="3" operator="equal" dxfId="0">
      <formula>"Blocked"</formula>
    </cfRule>
    <cfRule type="cellIs" priority="4" operator="equal" dxfId="1">
      <formula>"Proxy"</formula>
    </cfRule>
    <cfRule type="cellIs" priority="5" operator="equal" dxfId="1">
      <formula>"Info"</formula>
    </cfRule>
    <cfRule type="cellIs" priority="6" operator="equal" dxfId="2">
      <formula>"Pilot"</formula>
    </cfRule>
    <cfRule type="cellIs" priority="7" operator="equal" dxfId="2">
      <formula>"Not run"</formula>
    </cfRule>
    <cfRule type="cellIs" priority="8" operator="equal" dxfId="2">
      <formula>"Not in MVP"</formula>
    </cfRule>
    <cfRule type="cellIs" priority="9" operator="equal" dxfId="3">
      <formula>"Missed"</formula>
    </cfRule>
    <cfRule type="cellIs" priority="10" operator="equal" dxfId="3">
      <formula>"Fail"</formula>
    </cfRule>
  </conditionalFormatting>
  <pageMargins left="0.4" right="0.4" top="0.4" bottom="0.4" header="0.5" footer="0.5"/>
  <pageSetup orientation="landscape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26" customWidth="1" min="5" max="5"/>
  </cols>
  <sheetData>
    <row r="1" ht="22" customHeight="1">
      <c r="A1" s="19" t="inlineStr">
        <is>
          <t>Hero order walk-through (config A, scripts/e2e_order_loop.py)</t>
        </is>
      </c>
    </row>
    <row r="2">
      <c r="A2" s="20" t="inlineStr">
        <is>
          <t>Corporate gifting desk (store:hub-4) orders lavender candles from Maya. Values in INR.</t>
        </is>
      </c>
    </row>
    <row r="4" ht="28" customHeight="1">
      <c r="A4" s="21" t="inlineStr">
        <is>
          <t>Term</t>
        </is>
      </c>
      <c r="B4" s="21" t="inlineStr">
        <is>
          <t>Requested (v1)</t>
        </is>
      </c>
      <c r="C4" s="21" t="inlineStr">
        <is>
          <t>Maya's rule</t>
        </is>
      </c>
      <c r="D4" s="21" t="inlineStr">
        <is>
          <t>Counter (v2)</t>
        </is>
      </c>
      <c r="E4" s="21" t="inlineStr">
        <is>
          <t>Guardian reason code</t>
        </is>
      </c>
    </row>
    <row r="5">
      <c r="A5" s="22" t="inlineStr">
        <is>
          <t>Quantity (pieces)</t>
        </is>
      </c>
      <c r="B5" s="23" t="n">
        <v>50</v>
      </c>
      <c r="C5" s="22" t="inlineStr">
        <is>
          <t>≤ 40 / day</t>
        </is>
      </c>
      <c r="D5" s="23" t="n">
        <v>40</v>
      </c>
      <c r="E5" s="22" t="inlineStr">
        <is>
          <t>QTY_OVER_DAILY_MAX</t>
        </is>
      </c>
    </row>
    <row r="6">
      <c r="A6" s="22" t="inlineStr">
        <is>
          <t>Pickup (local time)</t>
        </is>
      </c>
      <c r="B6" s="23" t="inlineStr">
        <is>
          <t>08:00</t>
        </is>
      </c>
      <c r="C6" s="22" t="inlineStr">
        <is>
          <t>≥ 10:00</t>
        </is>
      </c>
      <c r="D6" s="23" t="inlineStr">
        <is>
          <t>10:00</t>
        </is>
      </c>
      <c r="E6" s="22" t="inlineStr">
        <is>
          <t>PICKUP_BEFORE_WINDOW</t>
        </is>
      </c>
    </row>
    <row r="7">
      <c r="A7" s="22" t="inlineStr">
        <is>
          <t>Paid within (days)</t>
        </is>
      </c>
      <c r="B7" s="23" t="n">
        <v>45</v>
      </c>
      <c r="C7" s="22" t="inlineStr">
        <is>
          <t>≤ 15</t>
        </is>
      </c>
      <c r="D7" s="23" t="n">
        <v>15</v>
      </c>
      <c r="E7" s="22" t="inlineStr">
        <is>
          <t>PAYMENT_TOO_LATE</t>
        </is>
      </c>
    </row>
    <row r="8">
      <c r="A8" s="22" t="inlineStr">
        <is>
          <t>Price per piece (₹)</t>
        </is>
      </c>
      <c r="B8" s="23" t="n">
        <v>220</v>
      </c>
      <c r="C8" s="22" t="inlineStr">
        <is>
          <t>≥ 180</t>
        </is>
      </c>
      <c r="D8" s="23" t="n">
        <v>220</v>
      </c>
      <c r="E8" s="22" t="inlineStr">
        <is>
          <t>— (inside rule)</t>
        </is>
      </c>
    </row>
    <row r="9">
      <c r="A9" s="24" t="inlineStr">
        <is>
          <t>Order value (₹)</t>
        </is>
      </c>
      <c r="B9" s="31">
        <f>B5*B8</f>
        <v>11000</v>
      </c>
      <c r="C9" s="24" t="inlineStr">
        <is>
          <t>auto-accept ≤ 5,000</t>
        </is>
      </c>
      <c r="D9" s="31">
        <f>D5*D8</f>
        <v>8800</v>
      </c>
      <c r="E9" s="24" t="inlineStr"/>
    </row>
    <row r="10">
      <c r="A10" s="22" t="inlineStr">
        <is>
          <t>Value change of the counter</t>
        </is>
      </c>
      <c r="B10" s="22" t="inlineStr"/>
      <c r="C10" s="22" t="inlineStr"/>
      <c r="D10" s="29">
        <f>(D9-B9)/B9</f>
        <v>-0.2</v>
      </c>
      <c r="E10" s="22" t="inlineStr"/>
    </row>
    <row r="11">
      <c r="A11" s="22" t="inlineStr">
        <is>
          <t>Retailer limit for auto-accepting a counter</t>
        </is>
      </c>
      <c r="B11" s="22" t="inlineStr"/>
      <c r="C11" s="22" t="inlineStr"/>
      <c r="D11" s="29" t="n">
        <v>0.1</v>
      </c>
      <c r="E11" s="22" t="inlineStr">
        <is>
          <t>auto_accept_counter_max_delta</t>
        </is>
      </c>
    </row>
    <row r="12">
      <c r="A12" s="22" t="inlineStr">
        <is>
          <t>Retailer side outcome</t>
        </is>
      </c>
      <c r="B12" s="22" t="inlineStr"/>
      <c r="C12" s="22" t="inlineStr"/>
      <c r="D12" s="22" t="str">
        <f>IF(ABS(D10)&gt;D11,"Approval queue","Auto-accept")</f>
        <v>Approval queue</v>
      </c>
      <c r="E12" s="22" t="inlineStr">
        <is>
          <t>Buyer asked on Slack by the Liaison</t>
        </is>
      </c>
    </row>
    <row r="13">
      <c r="A13" s="22" t="inlineStr">
        <is>
          <t>Vendor side outcome</t>
        </is>
      </c>
      <c r="B13" s="22" t="inlineStr"/>
      <c r="C13" s="22" t="inlineStr"/>
      <c r="D13" s="22" t="str">
        <f>IF(D9&gt;5000,"Needs Maya","Auto-sign")</f>
        <v>Needs Maya</v>
      </c>
      <c r="E13" s="22" t="inlineStr">
        <is>
          <t>Read-back in Telugu, she says అవును (yes)</t>
        </is>
      </c>
    </row>
    <row r="15">
      <c r="A15" s="11" t="inlineStr">
        <is>
          <t>Steps verified by the script (20 of 20 checks pass)</t>
        </is>
      </c>
    </row>
    <row r="16" ht="28" customHeight="1">
      <c r="A16" s="21" t="inlineStr">
        <is>
          <t>Step</t>
        </is>
      </c>
      <c r="B16" s="21" t="inlineStr">
        <is>
          <t>Result</t>
        </is>
      </c>
      <c r="C16" s="32" t="n"/>
      <c r="D16" s="32" t="n"/>
      <c r="E16" s="33" t="n"/>
    </row>
    <row r="17">
      <c r="A17" s="22" t="inlineStr">
        <is>
          <t>1. Guardian evaluates v1</t>
        </is>
      </c>
      <c r="B17" s="22" t="inlineStr">
        <is>
          <t>red, exactly the 3 reason codes above</t>
        </is>
      </c>
      <c r="C17" s="32" t="n"/>
      <c r="D17" s="32" t="n"/>
      <c r="E17" s="33" t="n"/>
    </row>
    <row r="18">
      <c r="A18" s="22" t="inlineStr">
        <is>
          <t>2. Counter created as v2</t>
        </is>
      </c>
      <c r="B18" s="22" t="inlineStr">
        <is>
          <t>40 @ 10:00, 15 days, price unchanged</t>
        </is>
      </c>
      <c r="C18" s="32" t="n"/>
      <c r="D18" s="32" t="n"/>
      <c r="E18" s="33" t="n"/>
    </row>
    <row r="19">
      <c r="A19" s="22" t="inlineStr">
        <is>
          <t>3. Counter outside retailer policy</t>
        </is>
      </c>
      <c r="B19" s="22" t="inlineStr">
        <is>
          <t>20% value change &gt; 10% limit → approval queue</t>
        </is>
      </c>
      <c r="C19" s="32" t="n"/>
      <c r="D19" s="32" t="n"/>
      <c r="E19" s="33" t="n"/>
    </row>
    <row r="20">
      <c r="A20" s="22" t="inlineStr">
        <is>
          <t>4. Human Liaison asks the buyer on Slack</t>
        </is>
      </c>
      <c r="B20" s="22" t="inlineStr">
        <is>
          <t>buyer's reply read; counter accepted</t>
        </is>
      </c>
      <c r="C20" s="32" t="n"/>
      <c r="D20" s="32" t="n"/>
      <c r="E20" s="33" t="n"/>
    </row>
    <row r="21">
      <c r="A21" s="22" t="inlineStr">
        <is>
          <t>5. Read-back to Maya; she says yes</t>
        </is>
      </c>
      <c r="B21" s="22" t="inlineStr">
        <is>
          <t>Guardian signs v2 with consent hash of v2</t>
        </is>
      </c>
      <c r="C21" s="32" t="n"/>
      <c r="D21" s="32" t="n"/>
      <c r="E21" s="33" t="n"/>
    </row>
    <row r="22">
      <c r="A22" s="22" t="inlineStr">
        <is>
          <t>6. Retailer signs</t>
        </is>
      </c>
      <c r="B22" s="22" t="inlineStr">
        <is>
          <t>Order Mandate filed at the gateway, cites her consent</t>
        </is>
      </c>
      <c r="C22" s="32" t="n"/>
      <c r="D22" s="32" t="n"/>
      <c r="E22" s="33" t="n"/>
    </row>
    <row r="23">
      <c r="A23" s="22" t="inlineStr">
        <is>
          <t>Green path: 10 candles @ 11:00</t>
        </is>
      </c>
      <c r="B23" s="22" t="inlineStr">
        <is>
          <t>confirmed without asking Maya (0 vendor actions)</t>
        </is>
      </c>
      <c r="C23" s="32" t="n"/>
      <c r="D23" s="32" t="n"/>
      <c r="E23" s="33" t="n"/>
    </row>
    <row r="24">
      <c r="A24" s="22" t="inlineStr">
        <is>
          <t>Amber path: 30 candles @ 12:00</t>
        </is>
      </c>
      <c r="B24" s="22" t="inlineStr">
        <is>
          <t>waits for Maya; 'వద్దు' (no) signs nothing</t>
        </is>
      </c>
      <c r="C24" s="32" t="n"/>
      <c r="D24" s="32" t="n"/>
      <c r="E24" s="33" t="n"/>
    </row>
    <row r="25">
      <c r="A25" s="22" t="inlineStr">
        <is>
          <t>Audit</t>
        </is>
      </c>
      <c r="B25" s="22" t="inlineStr">
        <is>
          <t>chain of 59 records verifies; each carries the active config hash</t>
        </is>
      </c>
      <c r="C25" s="32" t="n"/>
      <c r="D25" s="32" t="n"/>
      <c r="E25" s="33" t="n"/>
    </row>
  </sheetData>
  <mergeCells count="10">
    <mergeCell ref="B17:E17"/>
    <mergeCell ref="B18:E18"/>
    <mergeCell ref="B23:E23"/>
    <mergeCell ref="B21:E21"/>
    <mergeCell ref="B16:E16"/>
    <mergeCell ref="B25:E25"/>
    <mergeCell ref="B24:E24"/>
    <mergeCell ref="B19:E19"/>
    <mergeCell ref="B20:E20"/>
    <mergeCell ref="B22:E22"/>
  </mergeCells>
  <pageMargins left="0.4" right="0.4" top="0.4" bottom="0.4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40" customWidth="1" min="3" max="3"/>
    <col width="12" customWidth="1" min="4" max="4"/>
  </cols>
  <sheetData>
    <row r="1" ht="22" customHeight="1">
      <c r="A1" s="19" t="inlineStr">
        <is>
          <t>Configuration, not code: the A → B switch and rule conformance</t>
        </is>
      </c>
    </row>
    <row r="2">
      <c r="A2" s="20" t="inlineStr">
        <is>
          <t>A preset swaps four references (business profile, retailer profile, country pack, retailer policy). Checked by tests/e2e/test_config_switch.py.</t>
        </is>
      </c>
    </row>
    <row r="4" ht="28" customHeight="1">
      <c r="A4" s="21" t="inlineStr"/>
      <c r="B4" s="21" t="inlineStr">
        <is>
          <t>Config A</t>
        </is>
      </c>
      <c r="C4" s="21" t="inlineStr">
        <is>
          <t>Config B</t>
        </is>
      </c>
      <c r="D4" s="21" t="inlineStr"/>
    </row>
    <row r="5">
      <c r="A5" s="22" t="inlineStr">
        <is>
          <t>Business type</t>
        </is>
      </c>
      <c r="B5" s="22" t="inlineStr">
        <is>
          <t>Handmade gifts (candles, home décor)</t>
        </is>
      </c>
      <c r="C5" s="22" t="inlineStr">
        <is>
          <t>Packaged food</t>
        </is>
      </c>
      <c r="D5" s="22" t="inlineStr"/>
    </row>
    <row r="6">
      <c r="A6" s="22" t="inlineStr">
        <is>
          <t>Country</t>
        </is>
      </c>
      <c r="B6" s="22" t="inlineStr">
        <is>
          <t>India</t>
        </is>
      </c>
      <c r="C6" s="22" t="inlineStr">
        <is>
          <t>Indonesia</t>
        </is>
      </c>
      <c r="D6" s="22" t="inlineStr"/>
    </row>
    <row r="7">
      <c r="A7" s="22" t="inlineStr">
        <is>
          <t>Languages</t>
        </is>
      </c>
      <c r="B7" s="22" t="inlineStr">
        <is>
          <t>Telugu, English</t>
        </is>
      </c>
      <c r="C7" s="22" t="inlineStr">
        <is>
          <t>Bahasa Indonesia</t>
        </is>
      </c>
      <c r="D7" s="22" t="inlineStr"/>
    </row>
    <row r="8">
      <c r="A8" s="22" t="inlineStr">
        <is>
          <t>Currency</t>
        </is>
      </c>
      <c r="B8" s="22" t="inlineStr">
        <is>
          <t>INR</t>
        </is>
      </c>
      <c r="C8" s="22" t="inlineStr">
        <is>
          <t>IDR</t>
        </is>
      </c>
      <c r="D8" s="22" t="inlineStr"/>
    </row>
    <row r="9">
      <c r="A9" s="22" t="inlineStr">
        <is>
          <t>Registry / compliance</t>
        </is>
      </c>
      <c r="B9" s="22" t="inlineStr">
        <is>
          <t>None (not food)</t>
        </is>
      </c>
      <c r="C9" s="22" t="inlineStr">
        <is>
          <t>P-IRT number, halal</t>
        </is>
      </c>
      <c r="D9" s="22" t="inlineStr"/>
    </row>
    <row r="10">
      <c r="A10" s="22" t="inlineStr">
        <is>
          <t>Retailer type</t>
        </is>
      </c>
      <c r="B10" s="22" t="inlineStr">
        <is>
          <t>Corporate gifting buyer</t>
        </is>
      </c>
      <c r="C10" s="22" t="inlineStr">
        <is>
          <t>Grocery chain</t>
        </is>
      </c>
      <c r="D10" s="22" t="inlineStr"/>
    </row>
    <row r="11">
      <c r="A11" s="22" t="inlineStr">
        <is>
          <t>Specialists loaded</t>
        </is>
      </c>
      <c r="B11" s="22" t="inlineStr">
        <is>
          <t>Craft Quality Checker, Ordering (order.create)</t>
        </is>
      </c>
      <c r="C11" s="22" t="inlineStr">
        <is>
          <t>Label &amp; Food-Safety Checker, Supplier Compliance Auditor</t>
        </is>
      </c>
      <c r="D11" s="22" t="inlineStr"/>
    </row>
    <row r="12">
      <c r="A12" s="22" t="inlineStr">
        <is>
          <t>Demo proof</t>
        </is>
      </c>
      <c r="B12" s="22" t="inlineStr">
        <is>
          <t>Maya's hero order: red → counter → signed</t>
        </is>
      </c>
      <c r="C12" s="22" t="inlineStr">
        <is>
          <t>Sara's label missing P-IRT number flagged</t>
        </is>
      </c>
      <c r="D12" s="22" t="inlineStr"/>
    </row>
    <row r="14">
      <c r="A14" s="11" t="inlineStr">
        <is>
          <t>Conformance checks (static, on the codebase)</t>
        </is>
      </c>
    </row>
    <row r="15" ht="28" customHeight="1">
      <c r="A15" s="21" t="inlineStr">
        <is>
          <t>Check</t>
        </is>
      </c>
      <c r="B15" s="21" t="inlineStr">
        <is>
          <t>How</t>
        </is>
      </c>
      <c r="C15" s="21" t="inlineStr">
        <is>
          <t>Result</t>
        </is>
      </c>
      <c r="D15" s="21" t="inlineStr">
        <is>
          <t>Target</t>
        </is>
      </c>
    </row>
    <row r="16">
      <c r="A16" s="22" t="inlineStr">
        <is>
          <t>Core code changed to switch A → B</t>
        </is>
      </c>
      <c r="B16" s="22" t="inlineStr">
        <is>
          <t>Preset only; core agents untouched</t>
        </is>
      </c>
      <c r="C16" s="34" t="n">
        <v>0</v>
      </c>
      <c r="D16" s="23" t="n">
        <v>0</v>
      </c>
    </row>
    <row r="17">
      <c r="A17" s="22" t="inlineStr">
        <is>
          <t>Hard-coded business-type or country branches</t>
        </is>
      </c>
      <c r="B17" s="22" t="inlineStr">
        <is>
          <t>grep agents/ services/ packages/ for business/country ==</t>
        </is>
      </c>
      <c r="C17" s="34" t="n">
        <v>0</v>
      </c>
      <c r="D17" s="23" t="n">
        <v>0</v>
      </c>
    </row>
    <row r="18">
      <c r="A18" s="22" t="inlineStr">
        <is>
          <t>LLM calls inside the Guardian</t>
        </is>
      </c>
      <c r="B18" s="22" t="inlineStr">
        <is>
          <t>grep agents/core/guardian/ for llm / genai / adk</t>
        </is>
      </c>
      <c r="C18" s="34" t="n">
        <v>0</v>
      </c>
      <c r="D18" s="23" t="n">
        <v>0</v>
      </c>
    </row>
    <row r="19">
      <c r="A19" s="22" t="inlineStr">
        <is>
          <t>Direct vendor-svc ↔ retailer-svc references</t>
        </is>
      </c>
      <c r="B19" s="22" t="inlineStr">
        <is>
          <t>grep each service for the other</t>
        </is>
      </c>
      <c r="C19" s="34" t="n">
        <v>0</v>
      </c>
      <c r="D19" s="23" t="n">
        <v>0</v>
      </c>
    </row>
    <row r="20">
      <c r="A20" s="22" t="inlineStr">
        <is>
          <t>Update/delete paths on the audit log</t>
        </is>
      </c>
      <c r="B20" s="22" t="inlineStr">
        <is>
          <t>grep trust_gateway for audit update/delete</t>
        </is>
      </c>
      <c r="C20" s="34" t="n">
        <v>0</v>
      </c>
      <c r="D20" s="23" t="n">
        <v>0</v>
      </c>
    </row>
    <row r="21">
      <c r="A21" s="22" t="inlineStr">
        <is>
          <t>Gateway skills with an explicit policy entry</t>
        </is>
      </c>
      <c r="B21" s="22" t="inlineStr">
        <is>
          <t>SKILL_POLICY in trust_gateway/policy.py</t>
        </is>
      </c>
      <c r="C21" s="34" t="n">
        <v>14</v>
      </c>
      <c r="D21" s="23" t="inlineStr">
        <is>
          <t>—</t>
        </is>
      </c>
    </row>
    <row r="22">
      <c r="A22" s="22" t="inlineStr">
        <is>
          <t>Agents, all called by capability</t>
        </is>
      </c>
      <c r="B22" s="22" t="inlineStr">
        <is>
          <t>config/agents.json: 4 core, 3 channel, 11 specialists</t>
        </is>
      </c>
      <c r="C22" s="34" t="n">
        <v>18</v>
      </c>
      <c r="D22" s="23" t="inlineStr">
        <is>
          <t>—</t>
        </is>
      </c>
    </row>
    <row r="23">
      <c r="A23" s="22" t="inlineStr">
        <is>
          <t>Business types · retailer types · country packs</t>
        </is>
      </c>
      <c r="B23" s="22" t="inlineStr">
        <is>
          <t>config/ files</t>
        </is>
      </c>
      <c r="C23" s="34" t="inlineStr">
        <is>
          <t>3 · 3 · 2</t>
        </is>
      </c>
      <c r="D23" s="23" t="inlineStr">
        <is>
          <t>—</t>
        </is>
      </c>
    </row>
    <row r="24">
      <c r="A24" s="22" t="inlineStr">
        <is>
          <t>Languages with full UI strings</t>
        </is>
      </c>
      <c r="B24" s="22" t="inlineStr">
        <is>
          <t>config/i18n (te, en, id)</t>
        </is>
      </c>
      <c r="C24" s="34" t="n">
        <v>3</v>
      </c>
      <c r="D24" s="23" t="inlineStr">
        <is>
          <t>—</t>
        </is>
      </c>
    </row>
  </sheetData>
  <pageMargins left="0.4" right="0.4" top="0.4" bottom="0.4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22" customHeight="1">
      <c r="A1" s="19" t="inlineStr">
        <is>
          <t>How these numbers were produced</t>
        </is>
      </c>
    </row>
    <row r="2">
      <c r="A2" s="20" t="inlineStr">
        <is>
          <t>Reproduce any number with the commands below on commit 0ec713d.</t>
        </is>
      </c>
    </row>
    <row r="4" ht="28" customHeight="1">
      <c r="A4" s="21" t="inlineStr">
        <is>
          <t>Item</t>
        </is>
      </c>
      <c r="B4" s="21" t="inlineStr">
        <is>
          <t>Detail</t>
        </is>
      </c>
    </row>
    <row r="5">
      <c r="A5" s="22" t="inlineStr">
        <is>
          <t>Run date</t>
        </is>
      </c>
      <c r="B5" s="22" t="inlineStr">
        <is>
          <t>18 Oct 2026</t>
        </is>
      </c>
    </row>
    <row r="6">
      <c r="A6" s="22" t="inlineStr">
        <is>
          <t>Code</t>
        </is>
      </c>
      <c r="B6" s="22" t="inlineStr">
        <is>
          <t>VendorLink main @ 0ec713d (clean tree)</t>
        </is>
      </c>
    </row>
    <row r="7">
      <c r="A7" s="22" t="inlineStr">
        <is>
          <t>Environment</t>
        </is>
      </c>
      <c r="B7" s="22" t="inlineStr">
        <is>
          <t>Local, in-process: VL_STORE=memory, VL_SIGNER=local, VL_SCREEN=heuristic, VL_CHANNELS=local (Slack via a fake MCP server), model calls off or scripted</t>
        </is>
      </c>
    </row>
    <row r="8">
      <c r="A8" s="22" t="inlineStr">
        <is>
          <t>Data</t>
        </is>
      </c>
      <c r="B8" s="22" t="inlineStr">
        <is>
          <t>All vendors, retailers and registries are synthetic or simulated (as the apps say)</t>
        </is>
      </c>
    </row>
    <row r="9">
      <c r="A9" s="22" t="inlineStr">
        <is>
          <t>Test suite</t>
        </is>
      </c>
      <c r="B9" s="22" t="inlineStr">
        <is>
          <t>uv run pytest -q --ignore=tests/evals  → 305 passed, 0 failed (11.9 s)</t>
        </is>
      </c>
    </row>
    <row r="10">
      <c r="A10" s="22" t="inlineStr">
        <is>
          <t>Evals</t>
        </is>
      </c>
      <c r="B10" s="22" t="inlineStr">
        <is>
          <t>uv run pytest tests/evals -q -s  → 8 sets run, 2 skipped (need FLASH_MODEL and seed photos)</t>
        </is>
      </c>
    </row>
    <row r="11">
      <c r="A11" s="22" t="inlineStr">
        <is>
          <t>Order loop</t>
        </is>
      </c>
      <c r="B11" s="22" t="inlineStr">
        <is>
          <t>uv run python scripts/e2e_order_loop.py  → ORDER LOOP PASSED, 20/20 checks, ~0.6 s</t>
        </is>
      </c>
    </row>
    <row r="12">
      <c r="A12" s="22" t="inlineStr">
        <is>
          <t>Attacks</t>
        </is>
      </c>
      <c r="B12" s="22" t="inlineStr">
        <is>
          <t>uv run python scripts/attack_impostor.py ; uv run python scripts/attack_injected_doc.py  → both BLOCKED</t>
        </is>
      </c>
    </row>
    <row r="13">
      <c r="A13" s="22" t="inlineStr">
        <is>
          <t>API coverage</t>
        </is>
      </c>
      <c r="B13" s="22" t="inlineStr">
        <is>
          <t>uv run python scripts/api_check.py  → 115 routes, all exercised or streamed, no server errors</t>
        </is>
      </c>
    </row>
    <row r="14">
      <c r="A14" s="22" t="inlineStr">
        <is>
          <t>Guardian stress</t>
        </is>
      </c>
      <c r="B14" s="22" t="inlineStr">
        <is>
          <t>One-off script (seed 2026): 10,000 adversarial + 10,000 realistic orders against random standing mandates; each order also tried with no consent, wrong-terms consent, another vendor's consent and counter consent; compared with the independent oracle from the property tests</t>
        </is>
      </c>
    </row>
    <row r="15">
      <c r="A15" s="22" t="inlineStr">
        <is>
          <t>Tamper sweep</t>
        </is>
      </c>
      <c r="B15" s="22" t="inlineStr">
        <is>
          <t>One-off pytest on the gateway test fixture: 50 audit records, tamper each seq in turn, /audit/verify must report exactly that seq → 50/50</t>
        </is>
      </c>
    </row>
    <row r="16">
      <c r="A16" s="22" t="inlineStr">
        <is>
          <t>Static checks</t>
        </is>
      </c>
      <c r="B16" s="22" t="inlineStr">
        <is>
          <t>grep across agents/, services/, packages/ for hard-coded business/country branches, LLM use in the Guardian, cross-service references and audit update/delete paths → 0 each</t>
        </is>
      </c>
    </row>
    <row r="17">
      <c r="A17" s="22" t="inlineStr">
        <is>
          <t>Not measured</t>
        </is>
      </c>
      <c r="B17" s="22" t="inlineStr">
        <is>
          <t>Model quality on real photos and speech (needs real-model evals), vendor time to first listing, real auto-handled share, disputes</t>
        </is>
      </c>
    </row>
  </sheetData>
  <pageMargins left="0.4" right="0.4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2026-10-17T19:36:19Z</dcterms:created>
  <dcterms:modified xsi:type="dcterms:W3CDTF">2026-10-17T19:36:19Z</dcterms:modified>
</cp:coreProperties>
</file>